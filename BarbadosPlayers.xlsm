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4861D0C2-F555-7449-8AE3-A09B92D07281}" xr6:coauthVersionLast="36" xr6:coauthVersionMax="36" xr10:uidLastSave="{00000000-0000-0000-0000-000000000000}"/>
  <bookViews>
    <workbookView xWindow="860" yWindow="500" windowWidth="32700" windowHeight="20500" xr2:uid="{E5E74DBF-4C2C-0A42-87D7-4BBE1582C403}"/>
  </bookViews>
  <sheets>
    <sheet name="Players" sheetId="1" r:id="rId1"/>
    <sheet name="Race1" sheetId="2" r:id="rId2"/>
    <sheet name="Race2" sheetId="3" state="hidden" r:id="rId3"/>
    <sheet name="Race3" sheetId="10" state="hidden" r:id="rId4"/>
    <sheet name="Race4" sheetId="9" state="hidden" r:id="rId5"/>
    <sheet name="Race5" sheetId="8" state="hidden" r:id="rId6"/>
    <sheet name="Race6" sheetId="7" state="hidden" r:id="rId7"/>
    <sheet name="Race7" sheetId="6" state="hidden" r:id="rId8"/>
    <sheet name="Race 8" sheetId="5" state="hidden" r:id="rId9"/>
    <sheet name="Race9" sheetId="4" state="hidden" r:id="rId10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5" i="1" l="1"/>
  <c r="D36" i="1"/>
  <c r="D34" i="1"/>
  <c r="T35" i="1" l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4" i="1"/>
  <c r="Q5" i="1"/>
  <c r="Q6" i="1"/>
  <c r="Q7" i="1"/>
  <c r="Q8" i="1"/>
  <c r="Q9" i="1"/>
  <c r="Q10" i="1"/>
  <c r="Q11" i="1"/>
  <c r="Q12" i="1"/>
  <c r="Q13" i="1"/>
  <c r="Q14" i="1"/>
  <c r="I54" i="1" s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4" i="1"/>
  <c r="I44" i="1" s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4" i="1"/>
  <c r="E44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4" i="1"/>
  <c r="C5" i="1"/>
  <c r="B45" i="1" s="1"/>
  <c r="C6" i="1"/>
  <c r="B46" i="1" s="1"/>
  <c r="C7" i="1"/>
  <c r="B47" i="1" s="1"/>
  <c r="C8" i="1"/>
  <c r="B48" i="1" s="1"/>
  <c r="C9" i="1"/>
  <c r="B49" i="1" s="1"/>
  <c r="C10" i="1"/>
  <c r="B50" i="1" s="1"/>
  <c r="C11" i="1"/>
  <c r="B51" i="1" s="1"/>
  <c r="C12" i="1"/>
  <c r="B52" i="1" s="1"/>
  <c r="C13" i="1"/>
  <c r="B53" i="1" s="1"/>
  <c r="C14" i="1"/>
  <c r="B54" i="1" s="1"/>
  <c r="C15" i="1"/>
  <c r="B55" i="1" s="1"/>
  <c r="C16" i="1"/>
  <c r="B56" i="1" s="1"/>
  <c r="C17" i="1"/>
  <c r="B57" i="1" s="1"/>
  <c r="C18" i="1"/>
  <c r="B58" i="1" s="1"/>
  <c r="C19" i="1"/>
  <c r="B59" i="1" s="1"/>
  <c r="C20" i="1"/>
  <c r="B60" i="1" s="1"/>
  <c r="C21" i="1"/>
  <c r="B61" i="1" s="1"/>
  <c r="C22" i="1"/>
  <c r="B62" i="1" s="1"/>
  <c r="C23" i="1"/>
  <c r="B63" i="1" s="1"/>
  <c r="C24" i="1"/>
  <c r="B64" i="1" s="1"/>
  <c r="C25" i="1"/>
  <c r="B65" i="1" s="1"/>
  <c r="C26" i="1"/>
  <c r="B66" i="1" s="1"/>
  <c r="C27" i="1"/>
  <c r="B67" i="1" s="1"/>
  <c r="C28" i="1"/>
  <c r="B68" i="1" s="1"/>
  <c r="C29" i="1"/>
  <c r="B69" i="1" s="1"/>
  <c r="C30" i="1"/>
  <c r="B70" i="1" s="1"/>
  <c r="C4" i="1"/>
  <c r="T12" i="1" l="1"/>
  <c r="J52" i="1"/>
  <c r="T27" i="1"/>
  <c r="J67" i="1"/>
  <c r="T19" i="1"/>
  <c r="J59" i="1"/>
  <c r="T11" i="1"/>
  <c r="J51" i="1"/>
  <c r="T28" i="1"/>
  <c r="J68" i="1"/>
  <c r="T26" i="1"/>
  <c r="J66" i="1"/>
  <c r="T18" i="1"/>
  <c r="J58" i="1"/>
  <c r="T10" i="1"/>
  <c r="J50" i="1"/>
  <c r="T25" i="1"/>
  <c r="J65" i="1"/>
  <c r="T17" i="1"/>
  <c r="J57" i="1"/>
  <c r="T9" i="1"/>
  <c r="J49" i="1"/>
  <c r="T24" i="1"/>
  <c r="J64" i="1"/>
  <c r="T16" i="1"/>
  <c r="J56" i="1"/>
  <c r="T8" i="1"/>
  <c r="J48" i="1"/>
  <c r="T23" i="1"/>
  <c r="J63" i="1"/>
  <c r="T15" i="1"/>
  <c r="J55" i="1"/>
  <c r="T7" i="1"/>
  <c r="J47" i="1"/>
  <c r="T20" i="1"/>
  <c r="J60" i="1"/>
  <c r="T30" i="1"/>
  <c r="J70" i="1"/>
  <c r="T22" i="1"/>
  <c r="J62" i="1"/>
  <c r="T14" i="1"/>
  <c r="J54" i="1"/>
  <c r="T6" i="1"/>
  <c r="J46" i="1"/>
  <c r="T29" i="1"/>
  <c r="J69" i="1"/>
  <c r="T21" i="1"/>
  <c r="J61" i="1"/>
  <c r="T13" i="1"/>
  <c r="J53" i="1"/>
  <c r="T5" i="1"/>
  <c r="J45" i="1"/>
  <c r="T4" i="1"/>
  <c r="J44" i="1"/>
  <c r="R25" i="1"/>
  <c r="I65" i="1"/>
  <c r="R17" i="1"/>
  <c r="I57" i="1"/>
  <c r="R9" i="1"/>
  <c r="I49" i="1"/>
  <c r="R24" i="1"/>
  <c r="I64" i="1"/>
  <c r="R16" i="1"/>
  <c r="I56" i="1"/>
  <c r="R8" i="1"/>
  <c r="I48" i="1"/>
  <c r="R23" i="1"/>
  <c r="I63" i="1"/>
  <c r="R15" i="1"/>
  <c r="I55" i="1"/>
  <c r="R7" i="1"/>
  <c r="I47" i="1"/>
  <c r="R22" i="1"/>
  <c r="I62" i="1"/>
  <c r="R29" i="1"/>
  <c r="I69" i="1"/>
  <c r="R21" i="1"/>
  <c r="I61" i="1"/>
  <c r="R13" i="1"/>
  <c r="I53" i="1"/>
  <c r="R5" i="1"/>
  <c r="I45" i="1"/>
  <c r="R6" i="1"/>
  <c r="I46" i="1"/>
  <c r="R28" i="1"/>
  <c r="I68" i="1"/>
  <c r="R20" i="1"/>
  <c r="I60" i="1"/>
  <c r="R12" i="1"/>
  <c r="I52" i="1"/>
  <c r="R30" i="1"/>
  <c r="I70" i="1"/>
  <c r="R27" i="1"/>
  <c r="I67" i="1"/>
  <c r="R19" i="1"/>
  <c r="I59" i="1"/>
  <c r="R11" i="1"/>
  <c r="I51" i="1"/>
  <c r="R14" i="1"/>
  <c r="R26" i="1"/>
  <c r="I66" i="1"/>
  <c r="R18" i="1"/>
  <c r="I58" i="1"/>
  <c r="R10" i="1"/>
  <c r="I50" i="1"/>
  <c r="R4" i="1"/>
  <c r="P30" i="1"/>
  <c r="H70" i="1"/>
  <c r="P22" i="1"/>
  <c r="H62" i="1"/>
  <c r="P14" i="1"/>
  <c r="H54" i="1"/>
  <c r="P6" i="1"/>
  <c r="H46" i="1"/>
  <c r="P5" i="1"/>
  <c r="H45" i="1"/>
  <c r="P29" i="1"/>
  <c r="H69" i="1"/>
  <c r="P28" i="1"/>
  <c r="H68" i="1"/>
  <c r="P20" i="1"/>
  <c r="H60" i="1"/>
  <c r="P12" i="1"/>
  <c r="H52" i="1"/>
  <c r="P27" i="1"/>
  <c r="H67" i="1"/>
  <c r="P19" i="1"/>
  <c r="H59" i="1"/>
  <c r="P11" i="1"/>
  <c r="H51" i="1"/>
  <c r="P26" i="1"/>
  <c r="H66" i="1"/>
  <c r="P18" i="1"/>
  <c r="H58" i="1"/>
  <c r="P10" i="1"/>
  <c r="H50" i="1"/>
  <c r="P21" i="1"/>
  <c r="H61" i="1"/>
  <c r="P25" i="1"/>
  <c r="H65" i="1"/>
  <c r="P17" i="1"/>
  <c r="H57" i="1"/>
  <c r="P9" i="1"/>
  <c r="H49" i="1"/>
  <c r="P13" i="1"/>
  <c r="H53" i="1"/>
  <c r="P24" i="1"/>
  <c r="H64" i="1"/>
  <c r="P16" i="1"/>
  <c r="H56" i="1"/>
  <c r="P8" i="1"/>
  <c r="H48" i="1"/>
  <c r="P23" i="1"/>
  <c r="H63" i="1"/>
  <c r="P15" i="1"/>
  <c r="H55" i="1"/>
  <c r="P7" i="1"/>
  <c r="H47" i="1"/>
  <c r="P4" i="1"/>
  <c r="H44" i="1"/>
  <c r="N27" i="1"/>
  <c r="G67" i="1"/>
  <c r="N19" i="1"/>
  <c r="G59" i="1"/>
  <c r="N11" i="1"/>
  <c r="G51" i="1"/>
  <c r="N26" i="1"/>
  <c r="G66" i="1"/>
  <c r="N18" i="1"/>
  <c r="G58" i="1"/>
  <c r="N10" i="1"/>
  <c r="G50" i="1"/>
  <c r="N25" i="1"/>
  <c r="G65" i="1"/>
  <c r="N17" i="1"/>
  <c r="G57" i="1"/>
  <c r="N9" i="1"/>
  <c r="G49" i="1"/>
  <c r="N24" i="1"/>
  <c r="G64" i="1"/>
  <c r="N16" i="1"/>
  <c r="G56" i="1"/>
  <c r="N8" i="1"/>
  <c r="G48" i="1"/>
  <c r="N23" i="1"/>
  <c r="G63" i="1"/>
  <c r="N15" i="1"/>
  <c r="G55" i="1"/>
  <c r="N7" i="1"/>
  <c r="G47" i="1"/>
  <c r="N30" i="1"/>
  <c r="G70" i="1"/>
  <c r="N22" i="1"/>
  <c r="G62" i="1"/>
  <c r="N14" i="1"/>
  <c r="G54" i="1"/>
  <c r="N6" i="1"/>
  <c r="G46" i="1"/>
  <c r="N29" i="1"/>
  <c r="G69" i="1"/>
  <c r="N21" i="1"/>
  <c r="G61" i="1"/>
  <c r="N13" i="1"/>
  <c r="G53" i="1"/>
  <c r="N5" i="1"/>
  <c r="G45" i="1"/>
  <c r="N28" i="1"/>
  <c r="G68" i="1"/>
  <c r="N20" i="1"/>
  <c r="G60" i="1"/>
  <c r="N12" i="1"/>
  <c r="G52" i="1"/>
  <c r="N4" i="1"/>
  <c r="G44" i="1"/>
  <c r="L23" i="1"/>
  <c r="F63" i="1"/>
  <c r="L15" i="1"/>
  <c r="F55" i="1"/>
  <c r="L7" i="1"/>
  <c r="F47" i="1"/>
  <c r="L24" i="1"/>
  <c r="F64" i="1"/>
  <c r="L22" i="1"/>
  <c r="F62" i="1"/>
  <c r="L14" i="1"/>
  <c r="F54" i="1"/>
  <c r="L6" i="1"/>
  <c r="F46" i="1"/>
  <c r="L16" i="1"/>
  <c r="F56" i="1"/>
  <c r="L30" i="1"/>
  <c r="F70" i="1"/>
  <c r="L29" i="1"/>
  <c r="F69" i="1"/>
  <c r="L21" i="1"/>
  <c r="F61" i="1"/>
  <c r="L13" i="1"/>
  <c r="F53" i="1"/>
  <c r="L5" i="1"/>
  <c r="F45" i="1"/>
  <c r="L8" i="1"/>
  <c r="F48" i="1"/>
  <c r="L28" i="1"/>
  <c r="F68" i="1"/>
  <c r="L20" i="1"/>
  <c r="F60" i="1"/>
  <c r="L12" i="1"/>
  <c r="F52" i="1"/>
  <c r="L27" i="1"/>
  <c r="F67" i="1"/>
  <c r="L19" i="1"/>
  <c r="F59" i="1"/>
  <c r="L11" i="1"/>
  <c r="F51" i="1"/>
  <c r="L26" i="1"/>
  <c r="F66" i="1"/>
  <c r="L18" i="1"/>
  <c r="F58" i="1"/>
  <c r="L10" i="1"/>
  <c r="F50" i="1"/>
  <c r="L25" i="1"/>
  <c r="F65" i="1"/>
  <c r="L17" i="1"/>
  <c r="F57" i="1"/>
  <c r="L9" i="1"/>
  <c r="F49" i="1"/>
  <c r="J21" i="1"/>
  <c r="E61" i="1"/>
  <c r="J13" i="1"/>
  <c r="E53" i="1"/>
  <c r="J5" i="1"/>
  <c r="E45" i="1"/>
  <c r="J28" i="1"/>
  <c r="E68" i="1"/>
  <c r="J20" i="1"/>
  <c r="E60" i="1"/>
  <c r="J12" i="1"/>
  <c r="E52" i="1"/>
  <c r="J19" i="1"/>
  <c r="E59" i="1"/>
  <c r="J11" i="1"/>
  <c r="E51" i="1"/>
  <c r="J17" i="1"/>
  <c r="E57" i="1"/>
  <c r="J24" i="1"/>
  <c r="E64" i="1"/>
  <c r="J16" i="1"/>
  <c r="E56" i="1"/>
  <c r="J8" i="1"/>
  <c r="E48" i="1"/>
  <c r="J29" i="1"/>
  <c r="E69" i="1"/>
  <c r="J18" i="1"/>
  <c r="E58" i="1"/>
  <c r="J23" i="1"/>
  <c r="E63" i="1"/>
  <c r="J15" i="1"/>
  <c r="E55" i="1"/>
  <c r="J7" i="1"/>
  <c r="E47" i="1"/>
  <c r="J27" i="1"/>
  <c r="E67" i="1"/>
  <c r="J26" i="1"/>
  <c r="E66" i="1"/>
  <c r="J10" i="1"/>
  <c r="E50" i="1"/>
  <c r="J25" i="1"/>
  <c r="E65" i="1"/>
  <c r="J9" i="1"/>
  <c r="E49" i="1"/>
  <c r="J30" i="1"/>
  <c r="E70" i="1"/>
  <c r="J22" i="1"/>
  <c r="E62" i="1"/>
  <c r="J14" i="1"/>
  <c r="E54" i="1"/>
  <c r="J6" i="1"/>
  <c r="E46" i="1"/>
  <c r="L4" i="1"/>
  <c r="F44" i="1"/>
  <c r="J4" i="1"/>
  <c r="H26" i="1"/>
  <c r="D66" i="1"/>
  <c r="H18" i="1"/>
  <c r="D58" i="1"/>
  <c r="H10" i="1"/>
  <c r="D50" i="1"/>
  <c r="H25" i="1"/>
  <c r="D65" i="1"/>
  <c r="H17" i="1"/>
  <c r="D57" i="1"/>
  <c r="H9" i="1"/>
  <c r="D49" i="1"/>
  <c r="H16" i="1"/>
  <c r="D56" i="1"/>
  <c r="H8" i="1"/>
  <c r="D48" i="1"/>
  <c r="H23" i="1"/>
  <c r="D63" i="1"/>
  <c r="H15" i="1"/>
  <c r="D55" i="1"/>
  <c r="H7" i="1"/>
  <c r="D47" i="1"/>
  <c r="H30" i="1"/>
  <c r="D70" i="1"/>
  <c r="H22" i="1"/>
  <c r="D62" i="1"/>
  <c r="H14" i="1"/>
  <c r="D54" i="1"/>
  <c r="H6" i="1"/>
  <c r="D46" i="1"/>
  <c r="H24" i="1"/>
  <c r="D64" i="1"/>
  <c r="H29" i="1"/>
  <c r="D69" i="1"/>
  <c r="H21" i="1"/>
  <c r="D61" i="1"/>
  <c r="H13" i="1"/>
  <c r="D53" i="1"/>
  <c r="H5" i="1"/>
  <c r="D45" i="1"/>
  <c r="H28" i="1"/>
  <c r="D68" i="1"/>
  <c r="H20" i="1"/>
  <c r="D60" i="1"/>
  <c r="H12" i="1"/>
  <c r="D52" i="1"/>
  <c r="H27" i="1"/>
  <c r="D67" i="1"/>
  <c r="H19" i="1"/>
  <c r="D59" i="1"/>
  <c r="H11" i="1"/>
  <c r="D51" i="1"/>
  <c r="H4" i="1"/>
  <c r="D44" i="1"/>
  <c r="F7" i="1"/>
  <c r="C47" i="1"/>
  <c r="F30" i="1"/>
  <c r="C70" i="1"/>
  <c r="F29" i="1"/>
  <c r="C69" i="1"/>
  <c r="F21" i="1"/>
  <c r="C61" i="1"/>
  <c r="F13" i="1"/>
  <c r="C53" i="1"/>
  <c r="F5" i="1"/>
  <c r="C45" i="1"/>
  <c r="F22" i="1"/>
  <c r="C62" i="1"/>
  <c r="F28" i="1"/>
  <c r="C68" i="1"/>
  <c r="F20" i="1"/>
  <c r="C60" i="1"/>
  <c r="F12" i="1"/>
  <c r="C52" i="1"/>
  <c r="F27" i="1"/>
  <c r="C67" i="1"/>
  <c r="F19" i="1"/>
  <c r="C59" i="1"/>
  <c r="F11" i="1"/>
  <c r="C51" i="1"/>
  <c r="F26" i="1"/>
  <c r="C66" i="1"/>
  <c r="F18" i="1"/>
  <c r="C58" i="1"/>
  <c r="F10" i="1"/>
  <c r="C50" i="1"/>
  <c r="F23" i="1"/>
  <c r="C63" i="1"/>
  <c r="F15" i="1"/>
  <c r="C55" i="1"/>
  <c r="F25" i="1"/>
  <c r="C65" i="1"/>
  <c r="F17" i="1"/>
  <c r="C57" i="1"/>
  <c r="F9" i="1"/>
  <c r="C49" i="1"/>
  <c r="F14" i="1"/>
  <c r="C54" i="1"/>
  <c r="F6" i="1"/>
  <c r="C46" i="1"/>
  <c r="F24" i="1"/>
  <c r="C64" i="1"/>
  <c r="F16" i="1"/>
  <c r="C56" i="1"/>
  <c r="F8" i="1"/>
  <c r="C48" i="1"/>
  <c r="F4" i="1"/>
  <c r="C44" i="1"/>
  <c r="B44" i="1"/>
  <c r="D28" i="1"/>
  <c r="D27" i="1"/>
  <c r="D11" i="1"/>
  <c r="D26" i="1"/>
  <c r="D18" i="1"/>
  <c r="D10" i="1"/>
  <c r="D19" i="1"/>
  <c r="D25" i="1"/>
  <c r="D17" i="1"/>
  <c r="D9" i="1"/>
  <c r="D20" i="1"/>
  <c r="D12" i="1"/>
  <c r="D24" i="1"/>
  <c r="D8" i="1"/>
  <c r="D23" i="1"/>
  <c r="D15" i="1"/>
  <c r="D7" i="1"/>
  <c r="D16" i="1"/>
  <c r="D30" i="1"/>
  <c r="D14" i="1"/>
  <c r="D22" i="1"/>
  <c r="D6" i="1"/>
  <c r="D29" i="1"/>
  <c r="D21" i="1"/>
  <c r="D13" i="1"/>
  <c r="D5" i="1"/>
  <c r="D4" i="1"/>
</calcChain>
</file>

<file path=xl/sharedStrings.xml><?xml version="1.0" encoding="utf-8"?>
<sst xmlns="http://schemas.openxmlformats.org/spreadsheetml/2006/main" count="237" uniqueCount="186">
  <si>
    <t>Natalie</t>
  </si>
  <si>
    <t>Mike</t>
  </si>
  <si>
    <t>Kyla</t>
  </si>
  <si>
    <t>James</t>
  </si>
  <si>
    <t>Denisse</t>
  </si>
  <si>
    <t>Lauren</t>
  </si>
  <si>
    <t>Andrew</t>
  </si>
  <si>
    <t>Adam</t>
  </si>
  <si>
    <t>Jakki</t>
  </si>
  <si>
    <t>Brent</t>
  </si>
  <si>
    <t>Jenica</t>
  </si>
  <si>
    <t xml:space="preserve">Jamie </t>
  </si>
  <si>
    <t xml:space="preserve">Elizabeth </t>
  </si>
  <si>
    <t>+61 435 851 395</t>
  </si>
  <si>
    <t>+44 7788 795791</t>
  </si>
  <si>
    <t>Marie-Claire</t>
  </si>
  <si>
    <t>+34 621 05 37 41</t>
  </si>
  <si>
    <t>+44 7580 799409</t>
  </si>
  <si>
    <t>+44 7896 989663</t>
  </si>
  <si>
    <t>+44 7514 379582</t>
  </si>
  <si>
    <t>Name:</t>
  </si>
  <si>
    <t>+44 7944 340015</t>
  </si>
  <si>
    <t>Andrea</t>
  </si>
  <si>
    <t>Liv</t>
  </si>
  <si>
    <t>Karen</t>
  </si>
  <si>
    <t>Yannick</t>
  </si>
  <si>
    <t xml:space="preserve">Will 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</si>
  <si>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</si>
  <si>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</si>
  <si>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</si>
  <si>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</si>
  <si>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Jenica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</si>
  <si>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</si>
  <si>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</si>
  <si>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</si>
  <si>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</si>
  <si>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 xml:space="preserve">Ben </t>
  </si>
  <si>
    <t>Greg</t>
  </si>
  <si>
    <t>Phil</t>
  </si>
  <si>
    <t>Lucy</t>
  </si>
  <si>
    <t>Tilly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</si>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</sst>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7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X74"/>
  <sheetViews>
    <sheetView tabSelected="1" topLeftCell="A24" zoomScale="70" zoomScaleNormal="70" workbookViewId="0">
      <selection activeCell="J34" sqref="J34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7" t="s">
        <v>51</v>
      </c>
      <c r="D1" s="7"/>
      <c r="E1" s="7" t="s">
        <v>52</v>
      </c>
      <c r="F1" s="7"/>
      <c r="G1" s="7" t="s">
        <v>53</v>
      </c>
      <c r="H1" s="7"/>
      <c r="I1" s="7" t="s">
        <v>54</v>
      </c>
      <c r="J1" s="7"/>
      <c r="K1" s="7" t="s">
        <v>55</v>
      </c>
      <c r="L1" s="7"/>
      <c r="M1" s="7" t="s">
        <v>56</v>
      </c>
      <c r="N1" s="7"/>
      <c r="O1" s="7" t="s">
        <v>57</v>
      </c>
      <c r="P1" s="7"/>
      <c r="Q1" s="7" t="s">
        <v>58</v>
      </c>
      <c r="R1" s="7"/>
      <c r="S1" s="7" t="s">
        <v>59</v>
      </c>
      <c r="T1" s="7"/>
    </row>
    <row r="2" spans="1:24" x14ac:dyDescent="0.2"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4" s="6" customFormat="1" ht="17" thickBot="1" x14ac:dyDescent="0.25">
      <c r="A3" s="4" t="s">
        <v>20</v>
      </c>
      <c r="B3" s="5" t="s">
        <v>30</v>
      </c>
      <c r="C3" s="4" t="s">
        <v>177</v>
      </c>
      <c r="D3" s="4" t="s">
        <v>178</v>
      </c>
      <c r="E3" s="4" t="s">
        <v>177</v>
      </c>
      <c r="F3" s="4" t="s">
        <v>178</v>
      </c>
      <c r="G3" s="4" t="s">
        <v>177</v>
      </c>
      <c r="H3" s="4" t="s">
        <v>178</v>
      </c>
      <c r="I3" s="4" t="s">
        <v>177</v>
      </c>
      <c r="J3" s="4" t="s">
        <v>178</v>
      </c>
      <c r="K3" s="4" t="s">
        <v>177</v>
      </c>
      <c r="L3" s="4" t="s">
        <v>178</v>
      </c>
      <c r="M3" s="4" t="s">
        <v>177</v>
      </c>
      <c r="N3" s="4" t="s">
        <v>178</v>
      </c>
      <c r="O3" s="4" t="s">
        <v>177</v>
      </c>
      <c r="P3" s="4" t="s">
        <v>178</v>
      </c>
      <c r="Q3" s="4" t="s">
        <v>177</v>
      </c>
      <c r="R3" s="4" t="s">
        <v>178</v>
      </c>
      <c r="S3" s="4" t="s">
        <v>177</v>
      </c>
      <c r="T3" s="4" t="s">
        <v>178</v>
      </c>
      <c r="V3" s="6" t="s">
        <v>180</v>
      </c>
      <c r="W3" s="6" t="s">
        <v>181</v>
      </c>
      <c r="X3" s="6" t="s">
        <v>182</v>
      </c>
    </row>
    <row r="4" spans="1:24" ht="17" thickTop="1" x14ac:dyDescent="0.2">
      <c r="A4" t="s">
        <v>7</v>
      </c>
      <c r="B4" s="2" t="s">
        <v>17</v>
      </c>
      <c r="C4" s="6">
        <f ca="1">RANDBETWEEN(1,17)</f>
        <v>5</v>
      </c>
      <c r="D4" s="6" t="str">
        <f ca="1">VLOOKUP(C4,Race1!$A$1:$B$17,2,FALSE)</f>
        <v>SARAH(T&amp;T)</v>
      </c>
      <c r="E4" s="6">
        <f ca="1">RANDBETWEEN(1,20)</f>
        <v>14</v>
      </c>
      <c r="F4" s="6" t="str">
        <f ca="1">VLOOKUP(E4,Race2!$A$1:$B$20,2,FALSE)</f>
        <v>BONITA BAY</v>
      </c>
      <c r="G4" s="6">
        <f ca="1">RANDBETWEEN(1,12)</f>
        <v>3</v>
      </c>
      <c r="H4" s="6" t="str">
        <f ca="1">VLOOKUP(G4,Race3!$A$1:$B$12,2,FALSE)</f>
        <v>SHOTTA(USA)</v>
      </c>
      <c r="I4" s="6">
        <f ca="1">RANDBETWEEN(1,13)</f>
        <v>5</v>
      </c>
      <c r="J4" s="6" t="str">
        <f ca="1">VLOOKUP(I4,Race4!$A$1:$B$13,2,FALSE)</f>
        <v>STORM FORCE</v>
      </c>
      <c r="K4" s="6">
        <f ca="1">RANDBETWEEN(1,8)</f>
        <v>5</v>
      </c>
      <c r="L4" s="6" t="str">
        <f ca="1">VLOOKUP(K4,Race5!$A$1:$B$8,2,FALSE)</f>
        <v>DEALWIDIT</v>
      </c>
      <c r="M4" s="6">
        <f ca="1">RANDBETWEEN(1,12)</f>
        <v>12</v>
      </c>
      <c r="N4" s="6" t="str">
        <f ca="1">VLOOKUP(M4,Race6!$A$1:$B$12,2,FALSE)</f>
        <v>DEBONAIRE DAVID(GB)</v>
      </c>
      <c r="O4" s="6">
        <f ca="1">RANDBETWEEN(1,15)</f>
        <v>6</v>
      </c>
      <c r="P4" s="6" t="str">
        <f ca="1">VLOOKUP(O4,Race7!$A$1:$B$15,2,FALSE)</f>
        <v>BRIGHTON STAR</v>
      </c>
      <c r="Q4" s="6">
        <f ca="1">RANDBETWEEN(1,9)</f>
        <v>7</v>
      </c>
      <c r="R4" s="6" t="str">
        <f ca="1">VLOOKUP(Q4,'Race 8'!$A$1:$B$9,2,FALSE)</f>
        <v>LITTLE BUT LUCKY</v>
      </c>
      <c r="S4" s="6">
        <f ca="1">RANDBETWEEN(1,12)</f>
        <v>5</v>
      </c>
      <c r="T4" s="6" t="str">
        <f ca="1">VLOOKUP(S4,Race9!$A$1:$B$12,2,FALSE)</f>
        <v>MISCHIEF MAKER</v>
      </c>
    </row>
    <row r="5" spans="1:24" x14ac:dyDescent="0.2">
      <c r="A5" t="s">
        <v>22</v>
      </c>
      <c r="B5" s="1">
        <v>5194985453</v>
      </c>
      <c r="C5" s="6">
        <f t="shared" ref="C5:C30" ca="1" si="0">RANDBETWEEN(1,17)</f>
        <v>4</v>
      </c>
      <c r="D5" s="6" t="str">
        <f ca="1">VLOOKUP(C5,Race1!$A$1:$B$17,2,FALSE)</f>
        <v>PETTICOAT</v>
      </c>
      <c r="E5" s="6">
        <f t="shared" ref="E5:E30" ca="1" si="1">RANDBETWEEN(1,20)</f>
        <v>18</v>
      </c>
      <c r="F5" s="6" t="str">
        <f ca="1">VLOOKUP(E5,Race2!$A$1:$B$20,2,FALSE)</f>
        <v>SECRET MISSION</v>
      </c>
      <c r="G5" s="6">
        <f t="shared" ref="G5:G30" ca="1" si="2">RANDBETWEEN(1,12)</f>
        <v>1</v>
      </c>
      <c r="H5" s="6" t="str">
        <f ca="1">VLOOKUP(G5,Race3!$A$1:$B$12,2,FALSE)</f>
        <v>GAVILAR(USA)</v>
      </c>
      <c r="I5" s="6">
        <f t="shared" ref="I5:I30" ca="1" si="3">RANDBETWEEN(1,13)</f>
        <v>13</v>
      </c>
      <c r="J5" s="6" t="str">
        <f ca="1">VLOOKUP(I5,Race4!$A$1:$B$13,2,FALSE)</f>
        <v>RIGHTONTIME(Res 01)</v>
      </c>
      <c r="K5" s="6">
        <f t="shared" ref="K5:K30" ca="1" si="4">RANDBETWEEN(1,8)</f>
        <v>5</v>
      </c>
      <c r="L5" s="6" t="str">
        <f ca="1">VLOOKUP(K5,Race5!$A$1:$B$8,2,FALSE)</f>
        <v>DEALWIDIT</v>
      </c>
      <c r="M5" s="6">
        <f t="shared" ref="M5:M30" ca="1" si="5">RANDBETWEEN(1,12)</f>
        <v>12</v>
      </c>
      <c r="N5" s="6" t="str">
        <f ca="1">VLOOKUP(M5,Race6!$A$1:$B$12,2,FALSE)</f>
        <v>DEBONAIRE DAVID(GB)</v>
      </c>
      <c r="O5" s="6">
        <f t="shared" ref="O5:O30" ca="1" si="6">RANDBETWEEN(1,15)</f>
        <v>2</v>
      </c>
      <c r="P5" s="6" t="str">
        <f ca="1">VLOOKUP(O5,Race7!$A$1:$B$15,2,FALSE)</f>
        <v>WATCHMESLEWDEM</v>
      </c>
      <c r="Q5" s="6">
        <f t="shared" ref="Q5:Q30" ca="1" si="7">RANDBETWEEN(1,9)</f>
        <v>5</v>
      </c>
      <c r="R5" s="6" t="str">
        <f ca="1">VLOOKUP(Q5,'Race 8'!$A$1:$B$9,2,FALSE)</f>
        <v>BLACK ROCK</v>
      </c>
      <c r="S5" s="6">
        <f t="shared" ref="S5:S30" ca="1" si="8">RANDBETWEEN(1,12)</f>
        <v>5</v>
      </c>
      <c r="T5" s="6" t="str">
        <f ca="1">VLOOKUP(S5,Race9!$A$1:$B$12,2,FALSE)</f>
        <v>MISCHIEF MAKER</v>
      </c>
    </row>
    <row r="6" spans="1:24" x14ac:dyDescent="0.2">
      <c r="A6" t="s">
        <v>6</v>
      </c>
      <c r="B6" s="1">
        <v>6475753560</v>
      </c>
      <c r="C6" s="6">
        <f t="shared" ca="1" si="0"/>
        <v>5</v>
      </c>
      <c r="D6" s="6" t="str">
        <f ca="1">VLOOKUP(C6,Race1!$A$1:$B$17,2,FALSE)</f>
        <v>SARAH(T&amp;T)</v>
      </c>
      <c r="E6" s="6">
        <f t="shared" ca="1" si="1"/>
        <v>7</v>
      </c>
      <c r="F6" s="6" t="str">
        <f ca="1">VLOOKUP(E6,Race2!$A$1:$B$20,2,FALSE)</f>
        <v>TIGERS NEST</v>
      </c>
      <c r="G6" s="6">
        <f t="shared" ca="1" si="2"/>
        <v>9</v>
      </c>
      <c r="H6" s="6" t="str">
        <f ca="1">VLOOKUP(G6,Race3!$A$1:$B$12,2,FALSE)</f>
        <v>NEILOS</v>
      </c>
      <c r="I6" s="6">
        <f t="shared" ca="1" si="3"/>
        <v>13</v>
      </c>
      <c r="J6" s="6" t="str">
        <f ca="1">VLOOKUP(I6,Race4!$A$1:$B$13,2,FALSE)</f>
        <v>RIGHTONTIME(Res 01)</v>
      </c>
      <c r="K6" s="6">
        <f t="shared" ca="1" si="4"/>
        <v>7</v>
      </c>
      <c r="L6" s="6" t="str">
        <f ca="1">VLOOKUP(K6,Race5!$A$1:$B$8,2,FALSE)</f>
        <v>GAYZEE</v>
      </c>
      <c r="M6" s="6">
        <f t="shared" ca="1" si="5"/>
        <v>5</v>
      </c>
      <c r="N6" s="6" t="str">
        <f ca="1">VLOOKUP(M6,Race6!$A$1:$B$12,2,FALSE)</f>
        <v>ZAGAN(USA)</v>
      </c>
      <c r="O6" s="6">
        <f t="shared" ca="1" si="6"/>
        <v>13</v>
      </c>
      <c r="P6" s="6" t="str">
        <f ca="1">VLOOKUP(O6,Race7!$A$1:$B$15,2,FALSE)</f>
        <v>STEVENSONS THUNDER</v>
      </c>
      <c r="Q6" s="6">
        <f t="shared" ca="1" si="7"/>
        <v>9</v>
      </c>
      <c r="R6" s="6" t="str">
        <f ca="1">VLOOKUP(Q6,'Race 8'!$A$1:$B$9,2,FALSE)</f>
        <v>BIRD CAGE</v>
      </c>
      <c r="S6" s="6">
        <f t="shared" ca="1" si="8"/>
        <v>11</v>
      </c>
      <c r="T6" s="6" t="str">
        <f ca="1">VLOOKUP(S6,Race9!$A$1:$B$12,2,FALSE)</f>
        <v>WHATYOUTHINK</v>
      </c>
    </row>
    <row r="7" spans="1:24" x14ac:dyDescent="0.2">
      <c r="A7" t="s">
        <v>9</v>
      </c>
      <c r="B7" s="1">
        <v>4806352335</v>
      </c>
      <c r="C7" s="6">
        <f t="shared" ca="1" si="0"/>
        <v>10</v>
      </c>
      <c r="D7" s="6" t="str">
        <f ca="1">VLOOKUP(C7,Race1!$A$1:$B$17,2,FALSE)</f>
        <v>ANASTASIA</v>
      </c>
      <c r="E7" s="6">
        <f t="shared" ca="1" si="1"/>
        <v>6</v>
      </c>
      <c r="F7" s="6" t="str">
        <f ca="1">VLOOKUP(E7,Race2!$A$1:$B$20,2,FALSE)</f>
        <v>SATIVA</v>
      </c>
      <c r="G7" s="6">
        <f t="shared" ca="1" si="2"/>
        <v>7</v>
      </c>
      <c r="H7" s="6" t="str">
        <f ca="1">VLOOKUP(G7,Race3!$A$1:$B$12,2,FALSE)</f>
        <v>GOOD VIBRATION</v>
      </c>
      <c r="I7" s="6">
        <f t="shared" ca="1" si="3"/>
        <v>5</v>
      </c>
      <c r="J7" s="6" t="str">
        <f ca="1">VLOOKUP(I7,Race4!$A$1:$B$13,2,FALSE)</f>
        <v>STORM FORCE</v>
      </c>
      <c r="K7" s="6">
        <f t="shared" ca="1" si="4"/>
        <v>5</v>
      </c>
      <c r="L7" s="6" t="str">
        <f ca="1">VLOOKUP(K7,Race5!$A$1:$B$8,2,FALSE)</f>
        <v>DEALWIDIT</v>
      </c>
      <c r="M7" s="6">
        <f t="shared" ca="1" si="5"/>
        <v>2</v>
      </c>
      <c r="N7" s="6" t="str">
        <f ca="1">VLOOKUP(M7,Race6!$A$1:$B$12,2,FALSE)</f>
        <v>STEALIN</v>
      </c>
      <c r="O7" s="6">
        <f t="shared" ca="1" si="6"/>
        <v>15</v>
      </c>
      <c r="P7" s="6" t="str">
        <f ca="1">VLOOKUP(O7,Race7!$A$1:$B$15,2,FALSE)</f>
        <v>LADY BIRD</v>
      </c>
      <c r="Q7" s="6">
        <f t="shared" ca="1" si="7"/>
        <v>2</v>
      </c>
      <c r="R7" s="6" t="str">
        <f ca="1">VLOOKUP(Q7,'Race 8'!$A$1:$B$9,2,FALSE)</f>
        <v>NO FLY ZONE</v>
      </c>
      <c r="S7" s="6">
        <f t="shared" ca="1" si="8"/>
        <v>3</v>
      </c>
      <c r="T7" s="6" t="str">
        <f ca="1">VLOOKUP(S7,Race9!$A$1:$B$12,2,FALSE)</f>
        <v>GOLDEN TOUCH</v>
      </c>
    </row>
    <row r="8" spans="1:24" x14ac:dyDescent="0.2">
      <c r="A8" t="s">
        <v>4</v>
      </c>
      <c r="B8" s="2" t="s">
        <v>13</v>
      </c>
      <c r="C8" s="6">
        <f t="shared" ca="1" si="0"/>
        <v>5</v>
      </c>
      <c r="D8" s="6" t="str">
        <f ca="1">VLOOKUP(C8,Race1!$A$1:$B$17,2,FALSE)</f>
        <v>SARAH(T&amp;T)</v>
      </c>
      <c r="E8" s="6">
        <f t="shared" ca="1" si="1"/>
        <v>12</v>
      </c>
      <c r="F8" s="6" t="str">
        <f ca="1">VLOOKUP(E8,Race2!$A$1:$B$20,2,FALSE)</f>
        <v>RIDDICK</v>
      </c>
      <c r="G8" s="6">
        <f t="shared" ca="1" si="2"/>
        <v>1</v>
      </c>
      <c r="H8" s="6" t="str">
        <f ca="1">VLOOKUP(G8,Race3!$A$1:$B$12,2,FALSE)</f>
        <v>GAVILAR(USA)</v>
      </c>
      <c r="I8" s="6">
        <f t="shared" ca="1" si="3"/>
        <v>12</v>
      </c>
      <c r="J8" s="6" t="str">
        <f ca="1">VLOOKUP(I8,Race4!$A$1:$B$13,2,FALSE)</f>
        <v>RUTH</v>
      </c>
      <c r="K8" s="6">
        <f t="shared" ca="1" si="4"/>
        <v>1</v>
      </c>
      <c r="L8" s="6" t="str">
        <f ca="1">VLOOKUP(K8,Race5!$A$1:$B$8,2,FALSE)</f>
        <v>AMANTE</v>
      </c>
      <c r="M8" s="6">
        <f t="shared" ca="1" si="5"/>
        <v>10</v>
      </c>
      <c r="N8" s="6" t="str">
        <f ca="1">VLOOKUP(M8,Race6!$A$1:$B$12,2,FALSE)</f>
        <v>ISLAND COTTON(USA)</v>
      </c>
      <c r="O8" s="6">
        <f t="shared" ca="1" si="6"/>
        <v>4</v>
      </c>
      <c r="P8" s="6" t="str">
        <f ca="1">VLOOKUP(O8,Race7!$A$1:$B$15,2,FALSE)</f>
        <v>GABRIEL</v>
      </c>
      <c r="Q8" s="6">
        <f t="shared" ca="1" si="7"/>
        <v>2</v>
      </c>
      <c r="R8" s="6" t="str">
        <f ca="1">VLOOKUP(Q8,'Race 8'!$A$1:$B$9,2,FALSE)</f>
        <v>NO FLY ZONE</v>
      </c>
      <c r="S8" s="6">
        <f t="shared" ca="1" si="8"/>
        <v>12</v>
      </c>
      <c r="T8" s="6" t="str">
        <f ca="1">VLOOKUP(S8,Race9!$A$1:$B$12,2,FALSE)</f>
        <v>PRAY FOR ME</v>
      </c>
    </row>
    <row r="9" spans="1:24" x14ac:dyDescent="0.2">
      <c r="A9" t="s">
        <v>12</v>
      </c>
      <c r="B9" s="1">
        <v>5193623586</v>
      </c>
      <c r="C9" s="6">
        <f t="shared" ca="1" si="0"/>
        <v>1</v>
      </c>
      <c r="D9" s="6" t="str">
        <f ca="1">VLOOKUP(C9,Race1!$A$1:$B$17,2,FALSE)</f>
        <v>DE CONKIE MAN</v>
      </c>
      <c r="E9" s="6">
        <f t="shared" ca="1" si="1"/>
        <v>8</v>
      </c>
      <c r="F9" s="6" t="str">
        <f ca="1">VLOOKUP(E9,Race2!$A$1:$B$20,2,FALSE)</f>
        <v>FILMORES(Res 04)</v>
      </c>
      <c r="G9" s="6">
        <f t="shared" ca="1" si="2"/>
        <v>4</v>
      </c>
      <c r="H9" s="6" t="str">
        <f ca="1">VLOOKUP(G9,Race3!$A$1:$B$12,2,FALSE)</f>
        <v>JUNIPERO AVENUE(USA)</v>
      </c>
      <c r="I9" s="6">
        <f t="shared" ca="1" si="3"/>
        <v>13</v>
      </c>
      <c r="J9" s="6" t="str">
        <f ca="1">VLOOKUP(I9,Race4!$A$1:$B$13,2,FALSE)</f>
        <v>RIGHTONTIME(Res 01)</v>
      </c>
      <c r="K9" s="6">
        <f t="shared" ca="1" si="4"/>
        <v>5</v>
      </c>
      <c r="L9" s="6" t="str">
        <f ca="1">VLOOKUP(K9,Race5!$A$1:$B$8,2,FALSE)</f>
        <v>DEALWIDIT</v>
      </c>
      <c r="M9" s="6">
        <f t="shared" ca="1" si="5"/>
        <v>6</v>
      </c>
      <c r="N9" s="6" t="str">
        <f ca="1">VLOOKUP(M9,Race6!$A$1:$B$12,2,FALSE)</f>
        <v>JOSHUA</v>
      </c>
      <c r="O9" s="6">
        <f t="shared" ca="1" si="6"/>
        <v>6</v>
      </c>
      <c r="P9" s="6" t="str">
        <f ca="1">VLOOKUP(O9,Race7!$A$1:$B$15,2,FALSE)</f>
        <v>BRIGHTON STAR</v>
      </c>
      <c r="Q9" s="6">
        <f t="shared" ca="1" si="7"/>
        <v>3</v>
      </c>
      <c r="R9" s="6" t="str">
        <f ca="1">VLOOKUP(Q9,'Race 8'!$A$1:$B$9,2,FALSE)</f>
        <v>KINGOFTHEVALLEY</v>
      </c>
      <c r="S9" s="6">
        <f t="shared" ca="1" si="8"/>
        <v>3</v>
      </c>
      <c r="T9" s="6" t="str">
        <f ca="1">VLOOKUP(S9,Race9!$A$1:$B$12,2,FALSE)</f>
        <v>GOLDEN TOUCH</v>
      </c>
    </row>
    <row r="10" spans="1:24" x14ac:dyDescent="0.2">
      <c r="A10" t="s">
        <v>8</v>
      </c>
      <c r="B10" s="1">
        <v>5193623672</v>
      </c>
      <c r="C10" s="6">
        <f t="shared" ca="1" si="0"/>
        <v>7</v>
      </c>
      <c r="D10" s="6" t="str">
        <f ca="1">VLOOKUP(C10,Race1!$A$1:$B$17,2,FALSE)</f>
        <v>RACHEL(Res 02)</v>
      </c>
      <c r="E10" s="6">
        <f t="shared" ca="1" si="1"/>
        <v>4</v>
      </c>
      <c r="F10" s="6" t="str">
        <f ca="1">VLOOKUP(E10,Race2!$A$1:$B$20,2,FALSE)</f>
        <v>ST. DAVIDS</v>
      </c>
      <c r="G10" s="6">
        <f t="shared" ca="1" si="2"/>
        <v>3</v>
      </c>
      <c r="H10" s="6" t="str">
        <f ca="1">VLOOKUP(G10,Race3!$A$1:$B$12,2,FALSE)</f>
        <v>SHOTTA(USA)</v>
      </c>
      <c r="I10" s="6">
        <f t="shared" ca="1" si="3"/>
        <v>11</v>
      </c>
      <c r="J10" s="6" t="str">
        <f ca="1">VLOOKUP(I10,Race4!$A$1:$B$13,2,FALSE)</f>
        <v>ULTIMATE</v>
      </c>
      <c r="K10" s="6">
        <f t="shared" ca="1" si="4"/>
        <v>5</v>
      </c>
      <c r="L10" s="6" t="str">
        <f ca="1">VLOOKUP(K10,Race5!$A$1:$B$8,2,FALSE)</f>
        <v>DEALWIDIT</v>
      </c>
      <c r="M10" s="6">
        <f t="shared" ca="1" si="5"/>
        <v>6</v>
      </c>
      <c r="N10" s="6" t="str">
        <f ca="1">VLOOKUP(M10,Race6!$A$1:$B$12,2,FALSE)</f>
        <v>JOSHUA</v>
      </c>
      <c r="O10" s="6">
        <f t="shared" ca="1" si="6"/>
        <v>13</v>
      </c>
      <c r="P10" s="6" t="str">
        <f ca="1">VLOOKUP(O10,Race7!$A$1:$B$15,2,FALSE)</f>
        <v>STEVENSONS THUNDER</v>
      </c>
      <c r="Q10" s="6">
        <f t="shared" ca="1" si="7"/>
        <v>4</v>
      </c>
      <c r="R10" s="6" t="str">
        <f ca="1">VLOOKUP(Q10,'Race 8'!$A$1:$B$9,2,FALSE)</f>
        <v>GUEST AGAIN</v>
      </c>
      <c r="S10" s="6">
        <f t="shared" ca="1" si="8"/>
        <v>11</v>
      </c>
      <c r="T10" s="6" t="str">
        <f ca="1">VLOOKUP(S10,Race9!$A$1:$B$12,2,FALSE)</f>
        <v>WHATYOUTHINK</v>
      </c>
    </row>
    <row r="11" spans="1:24" x14ac:dyDescent="0.2">
      <c r="A11" t="s">
        <v>3</v>
      </c>
      <c r="B11" s="2" t="s">
        <v>19</v>
      </c>
      <c r="C11" s="6">
        <f t="shared" ca="1" si="0"/>
        <v>9</v>
      </c>
      <c r="D11" s="6" t="str">
        <f ca="1">VLOOKUP(C11,Race1!$A$1:$B$17,2,FALSE)</f>
        <v>JONAH</v>
      </c>
      <c r="E11" s="6">
        <f t="shared" ca="1" si="1"/>
        <v>17</v>
      </c>
      <c r="F11" s="6" t="str">
        <f ca="1">VLOOKUP(E11,Race2!$A$1:$B$20,2,FALSE)</f>
        <v>ZENSATIONAL(Res 01)</v>
      </c>
      <c r="G11" s="6">
        <f t="shared" ca="1" si="2"/>
        <v>10</v>
      </c>
      <c r="H11" s="6" t="str">
        <f ca="1">VLOOKUP(G11,Race3!$A$1:$B$12,2,FALSE)</f>
        <v>NASTY CRITTER</v>
      </c>
      <c r="I11" s="6">
        <f t="shared" ca="1" si="3"/>
        <v>12</v>
      </c>
      <c r="J11" s="6" t="str">
        <f ca="1">VLOOKUP(I11,Race4!$A$1:$B$13,2,FALSE)</f>
        <v>RUTH</v>
      </c>
      <c r="K11" s="6">
        <f t="shared" ca="1" si="4"/>
        <v>3</v>
      </c>
      <c r="L11" s="6" t="str">
        <f ca="1">VLOOKUP(K11,Race5!$A$1:$B$8,2,FALSE)</f>
        <v>CRITERION</v>
      </c>
      <c r="M11" s="6">
        <f t="shared" ca="1" si="5"/>
        <v>7</v>
      </c>
      <c r="N11" s="6" t="str">
        <f ca="1">VLOOKUP(M11,Race6!$A$1:$B$12,2,FALSE)</f>
        <v>SIR JIMMY(USA)</v>
      </c>
      <c r="O11" s="6">
        <f t="shared" ca="1" si="6"/>
        <v>8</v>
      </c>
      <c r="P11" s="6" t="str">
        <f ca="1">VLOOKUP(O11,Race7!$A$1:$B$15,2,FALSE)</f>
        <v>DARK ANGEL</v>
      </c>
      <c r="Q11" s="6">
        <f t="shared" ca="1" si="7"/>
        <v>4</v>
      </c>
      <c r="R11" s="6" t="str">
        <f ca="1">VLOOKUP(Q11,'Race 8'!$A$1:$B$9,2,FALSE)</f>
        <v>GUEST AGAIN</v>
      </c>
      <c r="S11" s="6">
        <f t="shared" ca="1" si="8"/>
        <v>8</v>
      </c>
      <c r="T11" s="6" t="str">
        <f ca="1">VLOOKUP(S11,Race9!$A$1:$B$12,2,FALSE)</f>
        <v>TROJAN</v>
      </c>
    </row>
    <row r="12" spans="1:24" x14ac:dyDescent="0.2">
      <c r="A12" t="s">
        <v>11</v>
      </c>
      <c r="B12" s="1">
        <v>5198611517</v>
      </c>
      <c r="C12" s="6">
        <f t="shared" ca="1" si="0"/>
        <v>13</v>
      </c>
      <c r="D12" s="6" t="str">
        <f ca="1">VLOOKUP(C12,Race1!$A$1:$B$17,2,FALSE)</f>
        <v>MIRIAM(Res 03)</v>
      </c>
      <c r="E12" s="6">
        <f t="shared" ca="1" si="1"/>
        <v>19</v>
      </c>
      <c r="F12" s="6" t="str">
        <f ca="1">VLOOKUP(E12,Race2!$A$1:$B$20,2,FALSE)</f>
        <v>SCARFACE(Res 08)</v>
      </c>
      <c r="G12" s="6">
        <f t="shared" ca="1" si="2"/>
        <v>9</v>
      </c>
      <c r="H12" s="6" t="str">
        <f ca="1">VLOOKUP(G12,Race3!$A$1:$B$12,2,FALSE)</f>
        <v>NEILOS</v>
      </c>
      <c r="I12" s="6">
        <f t="shared" ca="1" si="3"/>
        <v>13</v>
      </c>
      <c r="J12" s="6" t="str">
        <f ca="1">VLOOKUP(I12,Race4!$A$1:$B$13,2,FALSE)</f>
        <v>RIGHTONTIME(Res 01)</v>
      </c>
      <c r="K12" s="6">
        <f t="shared" ca="1" si="4"/>
        <v>6</v>
      </c>
      <c r="L12" s="6" t="str">
        <f ca="1">VLOOKUP(K12,Race5!$A$1:$B$8,2,FALSE)</f>
        <v>MAKEDA</v>
      </c>
      <c r="M12" s="6">
        <f t="shared" ca="1" si="5"/>
        <v>10</v>
      </c>
      <c r="N12" s="6" t="str">
        <f ca="1">VLOOKUP(M12,Race6!$A$1:$B$12,2,FALSE)</f>
        <v>ISLAND COTTON(USA)</v>
      </c>
      <c r="O12" s="6">
        <f t="shared" ca="1" si="6"/>
        <v>10</v>
      </c>
      <c r="P12" s="6" t="str">
        <f ca="1">VLOOKUP(O12,Race7!$A$1:$B$15,2,FALSE)</f>
        <v>AGAINST HIS WILL</v>
      </c>
      <c r="Q12" s="6">
        <f t="shared" ca="1" si="7"/>
        <v>5</v>
      </c>
      <c r="R12" s="6" t="str">
        <f ca="1">VLOOKUP(Q12,'Race 8'!$A$1:$B$9,2,FALSE)</f>
        <v>BLACK ROCK</v>
      </c>
      <c r="S12" s="6">
        <f t="shared" ca="1" si="8"/>
        <v>6</v>
      </c>
      <c r="T12" s="6" t="str">
        <f ca="1">VLOOKUP(S12,Race9!$A$1:$B$12,2,FALSE)</f>
        <v>SEBASTIAN</v>
      </c>
    </row>
    <row r="13" spans="1:24" x14ac:dyDescent="0.2">
      <c r="A13" t="s">
        <v>10</v>
      </c>
      <c r="B13" s="2" t="s">
        <v>14</v>
      </c>
      <c r="C13" s="6">
        <f t="shared" ca="1" si="0"/>
        <v>16</v>
      </c>
      <c r="D13" s="6" t="str">
        <f ca="1">VLOOKUP(C13,Race1!$A$1:$B$17,2,FALSE)</f>
        <v>DE SPOILED CHILD(Res 04)</v>
      </c>
      <c r="E13" s="6">
        <f t="shared" ca="1" si="1"/>
        <v>9</v>
      </c>
      <c r="F13" s="6" t="str">
        <f ca="1">VLOOKUP(E13,Race2!$A$1:$B$20,2,FALSE)</f>
        <v>AERODYNAMIC</v>
      </c>
      <c r="G13" s="6">
        <f t="shared" ca="1" si="2"/>
        <v>3</v>
      </c>
      <c r="H13" s="6" t="str">
        <f ca="1">VLOOKUP(G13,Race3!$A$1:$B$12,2,FALSE)</f>
        <v>SHOTTA(USA)</v>
      </c>
      <c r="I13" s="6">
        <f t="shared" ca="1" si="3"/>
        <v>4</v>
      </c>
      <c r="J13" s="6" t="str">
        <f ca="1">VLOOKUP(I13,Race4!$A$1:$B$13,2,FALSE)</f>
        <v>PREACHER BOY</v>
      </c>
      <c r="K13" s="6">
        <f t="shared" ca="1" si="4"/>
        <v>1</v>
      </c>
      <c r="L13" s="6" t="str">
        <f ca="1">VLOOKUP(K13,Race5!$A$1:$B$8,2,FALSE)</f>
        <v>AMANTE</v>
      </c>
      <c r="M13" s="6">
        <f t="shared" ca="1" si="5"/>
        <v>5</v>
      </c>
      <c r="N13" s="6" t="str">
        <f ca="1">VLOOKUP(M13,Race6!$A$1:$B$12,2,FALSE)</f>
        <v>ZAGAN(USA)</v>
      </c>
      <c r="O13" s="6">
        <f t="shared" ca="1" si="6"/>
        <v>3</v>
      </c>
      <c r="P13" s="6" t="str">
        <f ca="1">VLOOKUP(O13,Race7!$A$1:$B$15,2,FALSE)</f>
        <v>JOUVERT</v>
      </c>
      <c r="Q13" s="6">
        <f t="shared" ca="1" si="7"/>
        <v>7</v>
      </c>
      <c r="R13" s="6" t="str">
        <f ca="1">VLOOKUP(Q13,'Race 8'!$A$1:$B$9,2,FALSE)</f>
        <v>LITTLE BUT LUCKY</v>
      </c>
      <c r="S13" s="6">
        <f t="shared" ca="1" si="8"/>
        <v>6</v>
      </c>
      <c r="T13" s="6" t="str">
        <f ca="1">VLOOKUP(S13,Race9!$A$1:$B$12,2,FALSE)</f>
        <v>SEBASTIAN</v>
      </c>
    </row>
    <row r="14" spans="1:24" x14ac:dyDescent="0.2">
      <c r="A14" t="s">
        <v>2</v>
      </c>
      <c r="B14" s="1">
        <v>5199989213</v>
      </c>
      <c r="C14" s="6">
        <f t="shared" ca="1" si="0"/>
        <v>5</v>
      </c>
      <c r="D14" s="6" t="str">
        <f ca="1">VLOOKUP(C14,Race1!$A$1:$B$17,2,FALSE)</f>
        <v>SARAH(T&amp;T)</v>
      </c>
      <c r="E14" s="6">
        <f t="shared" ca="1" si="1"/>
        <v>3</v>
      </c>
      <c r="F14" s="6" t="str">
        <f ca="1">VLOOKUP(E14,Race2!$A$1:$B$20,2,FALSE)</f>
        <v>GOLD STAR</v>
      </c>
      <c r="G14" s="6">
        <f t="shared" ca="1" si="2"/>
        <v>9</v>
      </c>
      <c r="H14" s="6" t="str">
        <f ca="1">VLOOKUP(G14,Race3!$A$1:$B$12,2,FALSE)</f>
        <v>NEILOS</v>
      </c>
      <c r="I14" s="6">
        <f t="shared" ca="1" si="3"/>
        <v>5</v>
      </c>
      <c r="J14" s="6" t="str">
        <f ca="1">VLOOKUP(I14,Race4!$A$1:$B$13,2,FALSE)</f>
        <v>STORM FORCE</v>
      </c>
      <c r="K14" s="6">
        <f t="shared" ca="1" si="4"/>
        <v>5</v>
      </c>
      <c r="L14" s="6" t="str">
        <f ca="1">VLOOKUP(K14,Race5!$A$1:$B$8,2,FALSE)</f>
        <v>DEALWIDIT</v>
      </c>
      <c r="M14" s="6">
        <f t="shared" ca="1" si="5"/>
        <v>1</v>
      </c>
      <c r="N14" s="6" t="str">
        <f ca="1">VLOOKUP(M14,Race6!$A$1:$B$12,2,FALSE)</f>
        <v>KARIBA STAR(USA)</v>
      </c>
      <c r="O14" s="6">
        <f t="shared" ca="1" si="6"/>
        <v>3</v>
      </c>
      <c r="P14" s="6" t="str">
        <f ca="1">VLOOKUP(O14,Race7!$A$1:$B$15,2,FALSE)</f>
        <v>JOUVERT</v>
      </c>
      <c r="Q14" s="6">
        <f t="shared" ca="1" si="7"/>
        <v>7</v>
      </c>
      <c r="R14" s="6" t="str">
        <f ca="1">VLOOKUP(Q14,'Race 8'!$A$1:$B$9,2,FALSE)</f>
        <v>LITTLE BUT LUCKY</v>
      </c>
      <c r="S14" s="6">
        <f t="shared" ca="1" si="8"/>
        <v>9</v>
      </c>
      <c r="T14" s="6" t="str">
        <f ca="1">VLOOKUP(S14,Race9!$A$1:$B$12,2,FALSE)</f>
        <v>EDELWEISS(T&amp;T)</v>
      </c>
    </row>
    <row r="15" spans="1:24" x14ac:dyDescent="0.2">
      <c r="A15" t="s">
        <v>5</v>
      </c>
      <c r="B15" s="2" t="s">
        <v>18</v>
      </c>
      <c r="C15" s="6">
        <f t="shared" ca="1" si="0"/>
        <v>17</v>
      </c>
      <c r="D15" s="6" t="str">
        <f ca="1">VLOOKUP(C15,Race1!$A$1:$B$17,2,FALSE)</f>
        <v>NO BOSS NO</v>
      </c>
      <c r="E15" s="6">
        <f t="shared" ca="1" si="1"/>
        <v>11</v>
      </c>
      <c r="F15" s="6" t="str">
        <f ca="1">VLOOKUP(E15,Race2!$A$1:$B$20,2,FALSE)</f>
        <v>SILVER BULLET</v>
      </c>
      <c r="G15" s="6">
        <f t="shared" ca="1" si="2"/>
        <v>5</v>
      </c>
      <c r="H15" s="6" t="str">
        <f ca="1">VLOOKUP(G15,Race3!$A$1:$B$12,2,FALSE)</f>
        <v>INSPIRED ADVENTURE(USA)</v>
      </c>
      <c r="I15" s="6">
        <f t="shared" ca="1" si="3"/>
        <v>12</v>
      </c>
      <c r="J15" s="6" t="str">
        <f ca="1">VLOOKUP(I15,Race4!$A$1:$B$13,2,FALSE)</f>
        <v>RUTH</v>
      </c>
      <c r="K15" s="6">
        <f t="shared" ca="1" si="4"/>
        <v>4</v>
      </c>
      <c r="L15" s="6" t="str">
        <f ca="1">VLOOKUP(K15,Race5!$A$1:$B$8,2,FALSE)</f>
        <v>RACHEL</v>
      </c>
      <c r="M15" s="6">
        <f t="shared" ca="1" si="5"/>
        <v>12</v>
      </c>
      <c r="N15" s="6" t="str">
        <f ca="1">VLOOKUP(M15,Race6!$A$1:$B$12,2,FALSE)</f>
        <v>DEBONAIRE DAVID(GB)</v>
      </c>
      <c r="O15" s="6">
        <f t="shared" ca="1" si="6"/>
        <v>8</v>
      </c>
      <c r="P15" s="6" t="str">
        <f ca="1">VLOOKUP(O15,Race7!$A$1:$B$15,2,FALSE)</f>
        <v>DARK ANGEL</v>
      </c>
      <c r="Q15" s="6">
        <f t="shared" ca="1" si="7"/>
        <v>6</v>
      </c>
      <c r="R15" s="6" t="str">
        <f ca="1">VLOOKUP(Q15,'Race 8'!$A$1:$B$9,2,FALSE)</f>
        <v>DONT DOUBT DORIS</v>
      </c>
      <c r="S15" s="6">
        <f t="shared" ca="1" si="8"/>
        <v>7</v>
      </c>
      <c r="T15" s="6" t="str">
        <f ca="1">VLOOKUP(S15,Race9!$A$1:$B$12,2,FALSE)</f>
        <v>FANTASTIC FRANCES</v>
      </c>
    </row>
    <row r="16" spans="1:24" x14ac:dyDescent="0.2">
      <c r="A16" t="s">
        <v>15</v>
      </c>
      <c r="B16" s="3" t="s">
        <v>16</v>
      </c>
      <c r="C16" s="6">
        <f t="shared" ca="1" si="0"/>
        <v>6</v>
      </c>
      <c r="D16" s="6" t="str">
        <f ca="1">VLOOKUP(C16,Race1!$A$1:$B$17,2,FALSE)</f>
        <v>THUNDER LADY</v>
      </c>
      <c r="E16" s="6">
        <f t="shared" ca="1" si="1"/>
        <v>20</v>
      </c>
      <c r="F16" s="6" t="str">
        <f ca="1">VLOOKUP(E16,Race2!$A$1:$B$20,2,FALSE)</f>
        <v>AAZAM</v>
      </c>
      <c r="G16" s="6">
        <f t="shared" ca="1" si="2"/>
        <v>11</v>
      </c>
      <c r="H16" s="6" t="str">
        <f ca="1">VLOOKUP(G16,Race3!$A$1:$B$12,2,FALSE)</f>
        <v>ORIENTAL CROWN</v>
      </c>
      <c r="I16" s="6">
        <f t="shared" ca="1" si="3"/>
        <v>13</v>
      </c>
      <c r="J16" s="6" t="str">
        <f ca="1">VLOOKUP(I16,Race4!$A$1:$B$13,2,FALSE)</f>
        <v>RIGHTONTIME(Res 01)</v>
      </c>
      <c r="K16" s="6">
        <f t="shared" ca="1" si="4"/>
        <v>5</v>
      </c>
      <c r="L16" s="6" t="str">
        <f ca="1">VLOOKUP(K16,Race5!$A$1:$B$8,2,FALSE)</f>
        <v>DEALWIDIT</v>
      </c>
      <c r="M16" s="6">
        <f t="shared" ca="1" si="5"/>
        <v>7</v>
      </c>
      <c r="N16" s="6" t="str">
        <f ca="1">VLOOKUP(M16,Race6!$A$1:$B$12,2,FALSE)</f>
        <v>SIR JIMMY(USA)</v>
      </c>
      <c r="O16" s="6">
        <f t="shared" ca="1" si="6"/>
        <v>7</v>
      </c>
      <c r="P16" s="6" t="str">
        <f ca="1">VLOOKUP(O16,Race7!$A$1:$B$15,2,FALSE)</f>
        <v>ALKORO(Res 03)</v>
      </c>
      <c r="Q16" s="6">
        <f t="shared" ca="1" si="7"/>
        <v>9</v>
      </c>
      <c r="R16" s="6" t="str">
        <f ca="1">VLOOKUP(Q16,'Race 8'!$A$1:$B$9,2,FALSE)</f>
        <v>BIRD CAGE</v>
      </c>
      <c r="S16" s="6">
        <f t="shared" ca="1" si="8"/>
        <v>2</v>
      </c>
      <c r="T16" s="6" t="str">
        <f ca="1">VLOOKUP(S16,Race9!$A$1:$B$12,2,FALSE)</f>
        <v>PERUVIAN</v>
      </c>
    </row>
    <row r="17" spans="1:20" x14ac:dyDescent="0.2">
      <c r="A17" t="s">
        <v>1</v>
      </c>
      <c r="B17" s="1">
        <v>3109686593</v>
      </c>
      <c r="C17" s="6">
        <f t="shared" ca="1" si="0"/>
        <v>16</v>
      </c>
      <c r="D17" s="6" t="str">
        <f ca="1">VLOOKUP(C17,Race1!$A$1:$B$17,2,FALSE)</f>
        <v>DE SPOILED CHILD(Res 04)</v>
      </c>
      <c r="E17" s="6">
        <f t="shared" ca="1" si="1"/>
        <v>1</v>
      </c>
      <c r="F17" s="6" t="str">
        <f ca="1">VLOOKUP(E17,Race2!$A$1:$B$20,2,FALSE)</f>
        <v>AMEASH(Res 06)</v>
      </c>
      <c r="G17" s="6">
        <f t="shared" ca="1" si="2"/>
        <v>6</v>
      </c>
      <c r="H17" s="6" t="str">
        <f ca="1">VLOOKUP(G17,Race3!$A$1:$B$12,2,FALSE)</f>
        <v>SEVENTEENMILLIONUS</v>
      </c>
      <c r="I17" s="6">
        <f t="shared" ca="1" si="3"/>
        <v>6</v>
      </c>
      <c r="J17" s="6" t="str">
        <f ca="1">VLOOKUP(I17,Race4!$A$1:$B$13,2,FALSE)</f>
        <v>TOOTIGHTTOTALK</v>
      </c>
      <c r="K17" s="6">
        <f t="shared" ca="1" si="4"/>
        <v>2</v>
      </c>
      <c r="L17" s="6" t="str">
        <f ca="1">VLOOKUP(K17,Race5!$A$1:$B$8,2,FALSE)</f>
        <v>ABSOLUT STAR</v>
      </c>
      <c r="M17" s="6">
        <f t="shared" ca="1" si="5"/>
        <v>1</v>
      </c>
      <c r="N17" s="6" t="str">
        <f ca="1">VLOOKUP(M17,Race6!$A$1:$B$12,2,FALSE)</f>
        <v>KARIBA STAR(USA)</v>
      </c>
      <c r="O17" s="6">
        <f t="shared" ca="1" si="6"/>
        <v>10</v>
      </c>
      <c r="P17" s="6" t="str">
        <f ca="1">VLOOKUP(O17,Race7!$A$1:$B$15,2,FALSE)</f>
        <v>AGAINST HIS WILL</v>
      </c>
      <c r="Q17" s="6">
        <f t="shared" ca="1" si="7"/>
        <v>9</v>
      </c>
      <c r="R17" s="6" t="str">
        <f ca="1">VLOOKUP(Q17,'Race 8'!$A$1:$B$9,2,FALSE)</f>
        <v>BIRD CAGE</v>
      </c>
      <c r="S17" s="6">
        <f t="shared" ca="1" si="8"/>
        <v>10</v>
      </c>
      <c r="T17" s="6" t="str">
        <f ca="1">VLOOKUP(S17,Race9!$A$1:$B$12,2,FALSE)</f>
        <v>QUALITY STAR</v>
      </c>
    </row>
    <row r="18" spans="1:20" x14ac:dyDescent="0.2">
      <c r="A18" t="s">
        <v>0</v>
      </c>
      <c r="B18" s="2" t="s">
        <v>21</v>
      </c>
      <c r="C18" s="6">
        <f t="shared" ca="1" si="0"/>
        <v>1</v>
      </c>
      <c r="D18" s="6" t="str">
        <f ca="1">VLOOKUP(C18,Race1!$A$1:$B$17,2,FALSE)</f>
        <v>DE CONKIE MAN</v>
      </c>
      <c r="E18" s="6">
        <f t="shared" ca="1" si="1"/>
        <v>18</v>
      </c>
      <c r="F18" s="6" t="str">
        <f ca="1">VLOOKUP(E18,Race2!$A$1:$B$20,2,FALSE)</f>
        <v>SECRET MISSION</v>
      </c>
      <c r="G18" s="6">
        <f t="shared" ca="1" si="2"/>
        <v>5</v>
      </c>
      <c r="H18" s="6" t="str">
        <f ca="1">VLOOKUP(G18,Race3!$A$1:$B$12,2,FALSE)</f>
        <v>INSPIRED ADVENTURE(USA)</v>
      </c>
      <c r="I18" s="6">
        <f t="shared" ca="1" si="3"/>
        <v>12</v>
      </c>
      <c r="J18" s="6" t="str">
        <f ca="1">VLOOKUP(I18,Race4!$A$1:$B$13,2,FALSE)</f>
        <v>RUTH</v>
      </c>
      <c r="K18" s="6">
        <f t="shared" ca="1" si="4"/>
        <v>4</v>
      </c>
      <c r="L18" s="6" t="str">
        <f ca="1">VLOOKUP(K18,Race5!$A$1:$B$8,2,FALSE)</f>
        <v>RACHEL</v>
      </c>
      <c r="M18" s="6">
        <f t="shared" ca="1" si="5"/>
        <v>4</v>
      </c>
      <c r="N18" s="6" t="str">
        <f ca="1">VLOOKUP(M18,Race6!$A$1:$B$12,2,FALSE)</f>
        <v>TRINI AVIATOR(USA)</v>
      </c>
      <c r="O18" s="6">
        <f t="shared" ca="1" si="6"/>
        <v>15</v>
      </c>
      <c r="P18" s="6" t="str">
        <f ca="1">VLOOKUP(O18,Race7!$A$1:$B$15,2,FALSE)</f>
        <v>LADY BIRD</v>
      </c>
      <c r="Q18" s="6">
        <f t="shared" ca="1" si="7"/>
        <v>2</v>
      </c>
      <c r="R18" s="6" t="str">
        <f ca="1">VLOOKUP(Q18,'Race 8'!$A$1:$B$9,2,FALSE)</f>
        <v>NO FLY ZONE</v>
      </c>
      <c r="S18" s="6">
        <f t="shared" ca="1" si="8"/>
        <v>7</v>
      </c>
      <c r="T18" s="6" t="str">
        <f ca="1">VLOOKUP(S18,Race9!$A$1:$B$12,2,FALSE)</f>
        <v>FANTASTIC FRANCES</v>
      </c>
    </row>
    <row r="19" spans="1:20" x14ac:dyDescent="0.2">
      <c r="A19" t="s">
        <v>23</v>
      </c>
      <c r="B19" s="1" t="s">
        <v>28</v>
      </c>
      <c r="C19" s="6">
        <f t="shared" ca="1" si="0"/>
        <v>12</v>
      </c>
      <c r="D19" s="6" t="str">
        <f ca="1">VLOOKUP(C19,Race1!$A$1:$B$17,2,FALSE)</f>
        <v>CABALLITO(Res 05)</v>
      </c>
      <c r="E19" s="6">
        <f t="shared" ca="1" si="1"/>
        <v>20</v>
      </c>
      <c r="F19" s="6" t="str">
        <f ca="1">VLOOKUP(E19,Race2!$A$1:$B$20,2,FALSE)</f>
        <v>AAZAM</v>
      </c>
      <c r="G19" s="6">
        <f t="shared" ca="1" si="2"/>
        <v>5</v>
      </c>
      <c r="H19" s="6" t="str">
        <f ca="1">VLOOKUP(G19,Race3!$A$1:$B$12,2,FALSE)</f>
        <v>INSPIRED ADVENTURE(USA)</v>
      </c>
      <c r="I19" s="6">
        <f t="shared" ca="1" si="3"/>
        <v>1</v>
      </c>
      <c r="J19" s="6" t="str">
        <f ca="1">VLOOKUP(I19,Race4!$A$1:$B$13,2,FALSE)</f>
        <v>TIME AFTER TIME</v>
      </c>
      <c r="K19" s="6">
        <f t="shared" ca="1" si="4"/>
        <v>3</v>
      </c>
      <c r="L19" s="6" t="str">
        <f ca="1">VLOOKUP(K19,Race5!$A$1:$B$8,2,FALSE)</f>
        <v>CRITERION</v>
      </c>
      <c r="M19" s="6">
        <f t="shared" ca="1" si="5"/>
        <v>11</v>
      </c>
      <c r="N19" s="6" t="str">
        <f ca="1">VLOOKUP(M19,Race6!$A$1:$B$12,2,FALSE)</f>
        <v>STOLEN</v>
      </c>
      <c r="O19" s="6">
        <f t="shared" ca="1" si="6"/>
        <v>1</v>
      </c>
      <c r="P19" s="6" t="str">
        <f ca="1">VLOOKUP(O19,Race7!$A$1:$B$15,2,FALSE)</f>
        <v>ODYSSEY</v>
      </c>
      <c r="Q19" s="6">
        <f t="shared" ca="1" si="7"/>
        <v>1</v>
      </c>
      <c r="R19" s="6" t="str">
        <f ca="1">VLOOKUP(Q19,'Race 8'!$A$1:$B$9,2,FALSE)</f>
        <v>VISIONARY</v>
      </c>
      <c r="S19" s="6">
        <f t="shared" ca="1" si="8"/>
        <v>3</v>
      </c>
      <c r="T19" s="6" t="str">
        <f ca="1">VLOOKUP(S19,Race9!$A$1:$B$12,2,FALSE)</f>
        <v>GOLDEN TOUCH</v>
      </c>
    </row>
    <row r="20" spans="1:20" x14ac:dyDescent="0.2">
      <c r="A20" t="s">
        <v>24</v>
      </c>
      <c r="B20" s="1" t="s">
        <v>31</v>
      </c>
      <c r="C20" s="6">
        <f t="shared" ca="1" si="0"/>
        <v>7</v>
      </c>
      <c r="D20" s="6" t="str">
        <f ca="1">VLOOKUP(C20,Race1!$A$1:$B$17,2,FALSE)</f>
        <v>RACHEL(Res 02)</v>
      </c>
      <c r="E20" s="6">
        <f t="shared" ca="1" si="1"/>
        <v>9</v>
      </c>
      <c r="F20" s="6" t="str">
        <f ca="1">VLOOKUP(E20,Race2!$A$1:$B$20,2,FALSE)</f>
        <v>AERODYNAMIC</v>
      </c>
      <c r="G20" s="6">
        <f t="shared" ca="1" si="2"/>
        <v>5</v>
      </c>
      <c r="H20" s="6" t="str">
        <f ca="1">VLOOKUP(G20,Race3!$A$1:$B$12,2,FALSE)</f>
        <v>INSPIRED ADVENTURE(USA)</v>
      </c>
      <c r="I20" s="6">
        <f t="shared" ca="1" si="3"/>
        <v>6</v>
      </c>
      <c r="J20" s="6" t="str">
        <f ca="1">VLOOKUP(I20,Race4!$A$1:$B$13,2,FALSE)</f>
        <v>TOOTIGHTTOTALK</v>
      </c>
      <c r="K20" s="6">
        <f t="shared" ca="1" si="4"/>
        <v>2</v>
      </c>
      <c r="L20" s="6" t="str">
        <f ca="1">VLOOKUP(K20,Race5!$A$1:$B$8,2,FALSE)</f>
        <v>ABSOLUT STAR</v>
      </c>
      <c r="M20" s="6">
        <f t="shared" ca="1" si="5"/>
        <v>7</v>
      </c>
      <c r="N20" s="6" t="str">
        <f ca="1">VLOOKUP(M20,Race6!$A$1:$B$12,2,FALSE)</f>
        <v>SIR JIMMY(USA)</v>
      </c>
      <c r="O20" s="6">
        <f t="shared" ca="1" si="6"/>
        <v>6</v>
      </c>
      <c r="P20" s="6" t="str">
        <f ca="1">VLOOKUP(O20,Race7!$A$1:$B$15,2,FALSE)</f>
        <v>BRIGHTON STAR</v>
      </c>
      <c r="Q20" s="6">
        <f t="shared" ca="1" si="7"/>
        <v>2</v>
      </c>
      <c r="R20" s="6" t="str">
        <f ca="1">VLOOKUP(Q20,'Race 8'!$A$1:$B$9,2,FALSE)</f>
        <v>NO FLY ZONE</v>
      </c>
      <c r="S20" s="6">
        <f t="shared" ca="1" si="8"/>
        <v>9</v>
      </c>
      <c r="T20" s="6" t="str">
        <f ca="1">VLOOKUP(S20,Race9!$A$1:$B$12,2,FALSE)</f>
        <v>EDELWEISS(T&amp;T)</v>
      </c>
    </row>
    <row r="21" spans="1:20" x14ac:dyDescent="0.2">
      <c r="A21" t="s">
        <v>25</v>
      </c>
      <c r="B21" s="1" t="s">
        <v>31</v>
      </c>
      <c r="C21" s="6">
        <f t="shared" ca="1" si="0"/>
        <v>16</v>
      </c>
      <c r="D21" s="6" t="str">
        <f ca="1">VLOOKUP(C21,Race1!$A$1:$B$17,2,FALSE)</f>
        <v>DE SPOILED CHILD(Res 04)</v>
      </c>
      <c r="E21" s="6">
        <f t="shared" ca="1" si="1"/>
        <v>6</v>
      </c>
      <c r="F21" s="6" t="str">
        <f ca="1">VLOOKUP(E21,Race2!$A$1:$B$20,2,FALSE)</f>
        <v>SATIVA</v>
      </c>
      <c r="G21" s="6">
        <f t="shared" ca="1" si="2"/>
        <v>4</v>
      </c>
      <c r="H21" s="6" t="str">
        <f ca="1">VLOOKUP(G21,Race3!$A$1:$B$12,2,FALSE)</f>
        <v>JUNIPERO AVENUE(USA)</v>
      </c>
      <c r="I21" s="6">
        <f t="shared" ca="1" si="3"/>
        <v>10</v>
      </c>
      <c r="J21" s="6" t="str">
        <f ca="1">VLOOKUP(I21,Race4!$A$1:$B$13,2,FALSE)</f>
        <v>MR. U S</v>
      </c>
      <c r="K21" s="6">
        <f t="shared" ca="1" si="4"/>
        <v>7</v>
      </c>
      <c r="L21" s="6" t="str">
        <f ca="1">VLOOKUP(K21,Race5!$A$1:$B$8,2,FALSE)</f>
        <v>GAYZEE</v>
      </c>
      <c r="M21" s="6">
        <f t="shared" ca="1" si="5"/>
        <v>1</v>
      </c>
      <c r="N21" s="6" t="str">
        <f ca="1">VLOOKUP(M21,Race6!$A$1:$B$12,2,FALSE)</f>
        <v>KARIBA STAR(USA)</v>
      </c>
      <c r="O21" s="6">
        <f t="shared" ca="1" si="6"/>
        <v>11</v>
      </c>
      <c r="P21" s="6" t="str">
        <f ca="1">VLOOKUP(O21,Race7!$A$1:$B$15,2,FALSE)</f>
        <v>TAKE IT EASY</v>
      </c>
      <c r="Q21" s="6">
        <f t="shared" ca="1" si="7"/>
        <v>6</v>
      </c>
      <c r="R21" s="6" t="str">
        <f ca="1">VLOOKUP(Q21,'Race 8'!$A$1:$B$9,2,FALSE)</f>
        <v>DONT DOUBT DORIS</v>
      </c>
      <c r="S21" s="6">
        <f t="shared" ca="1" si="8"/>
        <v>6</v>
      </c>
      <c r="T21" s="6" t="str">
        <f ca="1">VLOOKUP(S21,Race9!$A$1:$B$12,2,FALSE)</f>
        <v>SEBASTIAN</v>
      </c>
    </row>
    <row r="22" spans="1:20" x14ac:dyDescent="0.2">
      <c r="A22" t="s">
        <v>26</v>
      </c>
      <c r="B22" s="1" t="s">
        <v>31</v>
      </c>
      <c r="C22" s="6">
        <f t="shared" ca="1" si="0"/>
        <v>11</v>
      </c>
      <c r="D22" s="6" t="str">
        <f ca="1">VLOOKUP(C22,Race1!$A$1:$B$17,2,FALSE)</f>
        <v>PEOPLE'S CHAMP</v>
      </c>
      <c r="E22" s="6">
        <f t="shared" ca="1" si="1"/>
        <v>8</v>
      </c>
      <c r="F22" s="6" t="str">
        <f ca="1">VLOOKUP(E22,Race2!$A$1:$B$20,2,FALSE)</f>
        <v>FILMORES(Res 04)</v>
      </c>
      <c r="G22" s="6">
        <f t="shared" ca="1" si="2"/>
        <v>10</v>
      </c>
      <c r="H22" s="6" t="str">
        <f ca="1">VLOOKUP(G22,Race3!$A$1:$B$12,2,FALSE)</f>
        <v>NASTY CRITTER</v>
      </c>
      <c r="I22" s="6">
        <f t="shared" ca="1" si="3"/>
        <v>3</v>
      </c>
      <c r="J22" s="6" t="str">
        <f ca="1">VLOOKUP(I22,Race4!$A$1:$B$13,2,FALSE)</f>
        <v>FASTCASH</v>
      </c>
      <c r="K22" s="6">
        <f t="shared" ca="1" si="4"/>
        <v>3</v>
      </c>
      <c r="L22" s="6" t="str">
        <f ca="1">VLOOKUP(K22,Race5!$A$1:$B$8,2,FALSE)</f>
        <v>CRITERION</v>
      </c>
      <c r="M22" s="6">
        <f t="shared" ca="1" si="5"/>
        <v>4</v>
      </c>
      <c r="N22" s="6" t="str">
        <f ca="1">VLOOKUP(M22,Race6!$A$1:$B$12,2,FALSE)</f>
        <v>TRINI AVIATOR(USA)</v>
      </c>
      <c r="O22" s="6">
        <f t="shared" ca="1" si="6"/>
        <v>3</v>
      </c>
      <c r="P22" s="6" t="str">
        <f ca="1">VLOOKUP(O22,Race7!$A$1:$B$15,2,FALSE)</f>
        <v>JOUVERT</v>
      </c>
      <c r="Q22" s="6">
        <f t="shared" ca="1" si="7"/>
        <v>8</v>
      </c>
      <c r="R22" s="6" t="str">
        <f ca="1">VLOOKUP(Q22,'Race 8'!$A$1:$B$9,2,FALSE)</f>
        <v>FIRE CRACKER</v>
      </c>
      <c r="S22" s="6">
        <f t="shared" ca="1" si="8"/>
        <v>4</v>
      </c>
      <c r="T22" s="6" t="str">
        <f ca="1">VLOOKUP(S22,Race9!$A$1:$B$12,2,FALSE)</f>
        <v>PREMONITION</v>
      </c>
    </row>
    <row r="23" spans="1:20" x14ac:dyDescent="0.2">
      <c r="A23" t="s">
        <v>27</v>
      </c>
      <c r="B23" s="1" t="s">
        <v>32</v>
      </c>
      <c r="C23" s="6">
        <f t="shared" ca="1" si="0"/>
        <v>1</v>
      </c>
      <c r="D23" s="6" t="str">
        <f ca="1">VLOOKUP(C23,Race1!$A$1:$B$17,2,FALSE)</f>
        <v>DE CONKIE MAN</v>
      </c>
      <c r="E23" s="6">
        <f t="shared" ca="1" si="1"/>
        <v>6</v>
      </c>
      <c r="F23" s="6" t="str">
        <f ca="1">VLOOKUP(E23,Race2!$A$1:$B$20,2,FALSE)</f>
        <v>SATIVA</v>
      </c>
      <c r="G23" s="6">
        <f t="shared" ca="1" si="2"/>
        <v>12</v>
      </c>
      <c r="H23" s="6" t="str">
        <f ca="1">VLOOKUP(G23,Race3!$A$1:$B$12,2,FALSE)</f>
        <v>SING SING</v>
      </c>
      <c r="I23" s="6">
        <f t="shared" ca="1" si="3"/>
        <v>2</v>
      </c>
      <c r="J23" s="6" t="str">
        <f ca="1">VLOOKUP(I23,Race4!$A$1:$B$13,2,FALSE)</f>
        <v>DOMINUS</v>
      </c>
      <c r="K23" s="6">
        <f t="shared" ca="1" si="4"/>
        <v>8</v>
      </c>
      <c r="L23" s="6" t="str">
        <f ca="1">VLOOKUP(K23,Race5!$A$1:$B$8,2,FALSE)</f>
        <v>QUEEN JUSTINA</v>
      </c>
      <c r="M23" s="6">
        <f t="shared" ca="1" si="5"/>
        <v>5</v>
      </c>
      <c r="N23" s="6" t="str">
        <f ca="1">VLOOKUP(M23,Race6!$A$1:$B$12,2,FALSE)</f>
        <v>ZAGAN(USA)</v>
      </c>
      <c r="O23" s="6">
        <f t="shared" ca="1" si="6"/>
        <v>5</v>
      </c>
      <c r="P23" s="6" t="str">
        <f ca="1">VLOOKUP(O23,Race7!$A$1:$B$15,2,FALSE)</f>
        <v>PETER QUILL</v>
      </c>
      <c r="Q23" s="6">
        <f t="shared" ca="1" si="7"/>
        <v>1</v>
      </c>
      <c r="R23" s="6" t="str">
        <f ca="1">VLOOKUP(Q23,'Race 8'!$A$1:$B$9,2,FALSE)</f>
        <v>VISIONARY</v>
      </c>
      <c r="S23" s="6">
        <f t="shared" ca="1" si="8"/>
        <v>2</v>
      </c>
      <c r="T23" s="6" t="str">
        <f ca="1">VLOOKUP(S23,Race9!$A$1:$B$12,2,FALSE)</f>
        <v>PERUVIAN</v>
      </c>
    </row>
    <row r="24" spans="1:20" x14ac:dyDescent="0.2">
      <c r="A24" t="s">
        <v>29</v>
      </c>
      <c r="B24" s="1" t="s">
        <v>33</v>
      </c>
      <c r="C24" s="6">
        <f t="shared" ca="1" si="0"/>
        <v>5</v>
      </c>
      <c r="D24" s="6" t="str">
        <f ca="1">VLOOKUP(C24,Race1!$A$1:$B$17,2,FALSE)</f>
        <v>SARAH(T&amp;T)</v>
      </c>
      <c r="E24" s="6">
        <f t="shared" ca="1" si="1"/>
        <v>5</v>
      </c>
      <c r="F24" s="6" t="str">
        <f ca="1">VLOOKUP(E24,Race2!$A$1:$B$20,2,FALSE)</f>
        <v>OPRAH</v>
      </c>
      <c r="G24" s="6">
        <f t="shared" ca="1" si="2"/>
        <v>2</v>
      </c>
      <c r="H24" s="6" t="str">
        <f ca="1">VLOOKUP(G24,Race3!$A$1:$B$12,2,FALSE)</f>
        <v>TERRAIN(USA)</v>
      </c>
      <c r="I24" s="6">
        <f t="shared" ca="1" si="3"/>
        <v>7</v>
      </c>
      <c r="J24" s="6" t="str">
        <f ca="1">VLOOKUP(I24,Race4!$A$1:$B$13,2,FALSE)</f>
        <v>CONFLICTOFINTEREST</v>
      </c>
      <c r="K24" s="6">
        <f t="shared" ca="1" si="4"/>
        <v>4</v>
      </c>
      <c r="L24" s="6" t="str">
        <f ca="1">VLOOKUP(K24,Race5!$A$1:$B$8,2,FALSE)</f>
        <v>RACHEL</v>
      </c>
      <c r="M24" s="6">
        <f t="shared" ca="1" si="5"/>
        <v>11</v>
      </c>
      <c r="N24" s="6" t="str">
        <f ca="1">VLOOKUP(M24,Race6!$A$1:$B$12,2,FALSE)</f>
        <v>STOLEN</v>
      </c>
      <c r="O24" s="6">
        <f t="shared" ca="1" si="6"/>
        <v>13</v>
      </c>
      <c r="P24" s="6" t="str">
        <f ca="1">VLOOKUP(O24,Race7!$A$1:$B$15,2,FALSE)</f>
        <v>STEVENSONS THUNDER</v>
      </c>
      <c r="Q24" s="6">
        <f t="shared" ca="1" si="7"/>
        <v>5</v>
      </c>
      <c r="R24" s="6" t="str">
        <f ca="1">VLOOKUP(Q24,'Race 8'!$A$1:$B$9,2,FALSE)</f>
        <v>BLACK ROCK</v>
      </c>
      <c r="S24" s="6">
        <f t="shared" ca="1" si="8"/>
        <v>5</v>
      </c>
      <c r="T24" s="6" t="str">
        <f ca="1">VLOOKUP(S24,Race9!$A$1:$B$12,2,FALSE)</f>
        <v>MISCHIEF MAKER</v>
      </c>
    </row>
    <row r="25" spans="1:20" x14ac:dyDescent="0.2">
      <c r="A25" t="s">
        <v>35</v>
      </c>
      <c r="B25" s="1" t="s">
        <v>34</v>
      </c>
      <c r="C25" s="6">
        <f t="shared" ca="1" si="0"/>
        <v>3</v>
      </c>
      <c r="D25" s="6" t="str">
        <f ca="1">VLOOKUP(C25,Race1!$A$1:$B$17,2,FALSE)</f>
        <v>MAKEDA(Res 01)</v>
      </c>
      <c r="E25" s="6">
        <f t="shared" ca="1" si="1"/>
        <v>15</v>
      </c>
      <c r="F25" s="6" t="str">
        <f ca="1">VLOOKUP(E25,Race2!$A$1:$B$20,2,FALSE)</f>
        <v>HOWULIKEDISNAME</v>
      </c>
      <c r="G25" s="6">
        <f t="shared" ca="1" si="2"/>
        <v>9</v>
      </c>
      <c r="H25" s="6" t="str">
        <f ca="1">VLOOKUP(G25,Race3!$A$1:$B$12,2,FALSE)</f>
        <v>NEILOS</v>
      </c>
      <c r="I25" s="6">
        <f t="shared" ca="1" si="3"/>
        <v>6</v>
      </c>
      <c r="J25" s="6" t="str">
        <f ca="1">VLOOKUP(I25,Race4!$A$1:$B$13,2,FALSE)</f>
        <v>TOOTIGHTTOTALK</v>
      </c>
      <c r="K25" s="6">
        <f t="shared" ca="1" si="4"/>
        <v>1</v>
      </c>
      <c r="L25" s="6" t="str">
        <f ca="1">VLOOKUP(K25,Race5!$A$1:$B$8,2,FALSE)</f>
        <v>AMANTE</v>
      </c>
      <c r="M25" s="6">
        <f t="shared" ca="1" si="5"/>
        <v>2</v>
      </c>
      <c r="N25" s="6" t="str">
        <f ca="1">VLOOKUP(M25,Race6!$A$1:$B$12,2,FALSE)</f>
        <v>STEALIN</v>
      </c>
      <c r="O25" s="6">
        <f t="shared" ca="1" si="6"/>
        <v>13</v>
      </c>
      <c r="P25" s="6" t="str">
        <f ca="1">VLOOKUP(O25,Race7!$A$1:$B$15,2,FALSE)</f>
        <v>STEVENSONS THUNDER</v>
      </c>
      <c r="Q25" s="6">
        <f t="shared" ca="1" si="7"/>
        <v>9</v>
      </c>
      <c r="R25" s="6" t="str">
        <f ca="1">VLOOKUP(Q25,'Race 8'!$A$1:$B$9,2,FALSE)</f>
        <v>BIRD CAGE</v>
      </c>
      <c r="S25" s="6">
        <f t="shared" ca="1" si="8"/>
        <v>4</v>
      </c>
      <c r="T25" s="6" t="str">
        <f ca="1">VLOOKUP(S25,Race9!$A$1:$B$12,2,FALSE)</f>
        <v>PREMONITION</v>
      </c>
    </row>
    <row r="26" spans="1:20" x14ac:dyDescent="0.2">
      <c r="A26" t="s">
        <v>37</v>
      </c>
      <c r="B26" s="1" t="s">
        <v>41</v>
      </c>
      <c r="C26" s="6">
        <f t="shared" ca="1" si="0"/>
        <v>8</v>
      </c>
      <c r="D26" s="6" t="str">
        <f ca="1">VLOOKUP(C26,Race1!$A$1:$B$17,2,FALSE)</f>
        <v>ONEBILLIONUS</v>
      </c>
      <c r="E26" s="6">
        <f t="shared" ca="1" si="1"/>
        <v>19</v>
      </c>
      <c r="F26" s="6" t="str">
        <f ca="1">VLOOKUP(E26,Race2!$A$1:$B$20,2,FALSE)</f>
        <v>SCARFACE(Res 08)</v>
      </c>
      <c r="G26" s="6">
        <f t="shared" ca="1" si="2"/>
        <v>10</v>
      </c>
      <c r="H26" s="6" t="str">
        <f ca="1">VLOOKUP(G26,Race3!$A$1:$B$12,2,FALSE)</f>
        <v>NASTY CRITTER</v>
      </c>
      <c r="I26" s="6">
        <f t="shared" ca="1" si="3"/>
        <v>8</v>
      </c>
      <c r="J26" s="6" t="str">
        <f ca="1">VLOOKUP(I26,Race4!$A$1:$B$13,2,FALSE)</f>
        <v>LOLLIPOP(JAM)</v>
      </c>
      <c r="K26" s="6">
        <f t="shared" ca="1" si="4"/>
        <v>3</v>
      </c>
      <c r="L26" s="6" t="str">
        <f ca="1">VLOOKUP(K26,Race5!$A$1:$B$8,2,FALSE)</f>
        <v>CRITERION</v>
      </c>
      <c r="M26" s="6">
        <f t="shared" ca="1" si="5"/>
        <v>5</v>
      </c>
      <c r="N26" s="6" t="str">
        <f ca="1">VLOOKUP(M26,Race6!$A$1:$B$12,2,FALSE)</f>
        <v>ZAGAN(USA)</v>
      </c>
      <c r="O26" s="6">
        <f t="shared" ca="1" si="6"/>
        <v>9</v>
      </c>
      <c r="P26" s="6" t="str">
        <f ca="1">VLOOKUP(O26,Race7!$A$1:$B$15,2,FALSE)</f>
        <v>TWINKLED</v>
      </c>
      <c r="Q26" s="6">
        <f t="shared" ca="1" si="7"/>
        <v>3</v>
      </c>
      <c r="R26" s="6" t="str">
        <f ca="1">VLOOKUP(Q26,'Race 8'!$A$1:$B$9,2,FALSE)</f>
        <v>KINGOFTHEVALLEY</v>
      </c>
      <c r="S26" s="6">
        <f t="shared" ca="1" si="8"/>
        <v>4</v>
      </c>
      <c r="T26" s="6" t="str">
        <f ca="1">VLOOKUP(S26,Race9!$A$1:$B$12,2,FALSE)</f>
        <v>PREMONITION</v>
      </c>
    </row>
    <row r="27" spans="1:20" x14ac:dyDescent="0.2">
      <c r="A27" t="s">
        <v>36</v>
      </c>
      <c r="B27" s="1">
        <v>2462838557</v>
      </c>
      <c r="C27" s="6">
        <f t="shared" ca="1" si="0"/>
        <v>14</v>
      </c>
      <c r="D27" s="6" t="str">
        <f ca="1">VLOOKUP(C27,Race1!$A$1:$B$17,2,FALSE)</f>
        <v>UNGRATEFUL</v>
      </c>
      <c r="E27" s="6">
        <f t="shared" ca="1" si="1"/>
        <v>17</v>
      </c>
      <c r="F27" s="6" t="str">
        <f ca="1">VLOOKUP(E27,Race2!$A$1:$B$20,2,FALSE)</f>
        <v>ZENSATIONAL(Res 01)</v>
      </c>
      <c r="G27" s="6">
        <f t="shared" ca="1" si="2"/>
        <v>2</v>
      </c>
      <c r="H27" s="6" t="str">
        <f ca="1">VLOOKUP(G27,Race3!$A$1:$B$12,2,FALSE)</f>
        <v>TERRAIN(USA)</v>
      </c>
      <c r="I27" s="6">
        <f t="shared" ca="1" si="3"/>
        <v>9</v>
      </c>
      <c r="J27" s="6" t="str">
        <f ca="1">VLOOKUP(I27,Race4!$A$1:$B$13,2,FALSE)</f>
        <v>ABIGAIL</v>
      </c>
      <c r="K27" s="6">
        <f t="shared" ca="1" si="4"/>
        <v>4</v>
      </c>
      <c r="L27" s="6" t="str">
        <f ca="1">VLOOKUP(K27,Race5!$A$1:$B$8,2,FALSE)</f>
        <v>RACHEL</v>
      </c>
      <c r="M27" s="6">
        <f t="shared" ca="1" si="5"/>
        <v>6</v>
      </c>
      <c r="N27" s="6" t="str">
        <f ca="1">VLOOKUP(M27,Race6!$A$1:$B$12,2,FALSE)</f>
        <v>JOSHUA</v>
      </c>
      <c r="O27" s="6">
        <f t="shared" ca="1" si="6"/>
        <v>12</v>
      </c>
      <c r="P27" s="6" t="str">
        <f ca="1">VLOOKUP(O27,Race7!$A$1:$B$15,2,FALSE)</f>
        <v>WHISPERING ANGEL(Res 01)</v>
      </c>
      <c r="Q27" s="6">
        <f t="shared" ca="1" si="7"/>
        <v>6</v>
      </c>
      <c r="R27" s="6" t="str">
        <f ca="1">VLOOKUP(Q27,'Race 8'!$A$1:$B$9,2,FALSE)</f>
        <v>DONT DOUBT DORIS</v>
      </c>
      <c r="S27" s="6">
        <f t="shared" ca="1" si="8"/>
        <v>1</v>
      </c>
      <c r="T27" s="6" t="str">
        <f ca="1">VLOOKUP(S27,Race9!$A$1:$B$12,2,FALSE)</f>
        <v>LEADING STAR</v>
      </c>
    </row>
    <row r="28" spans="1:20" x14ac:dyDescent="0.2">
      <c r="A28" t="s">
        <v>38</v>
      </c>
      <c r="B28" s="1" t="s">
        <v>32</v>
      </c>
      <c r="C28" s="6">
        <f t="shared" ca="1" si="0"/>
        <v>6</v>
      </c>
      <c r="D28" s="6" t="str">
        <f ca="1">VLOOKUP(C28,Race1!$A$1:$B$17,2,FALSE)</f>
        <v>THUNDER LADY</v>
      </c>
      <c r="E28" s="6">
        <f t="shared" ca="1" si="1"/>
        <v>4</v>
      </c>
      <c r="F28" s="6" t="str">
        <f ca="1">VLOOKUP(E28,Race2!$A$1:$B$20,2,FALSE)</f>
        <v>ST. DAVIDS</v>
      </c>
      <c r="G28" s="6">
        <f t="shared" ca="1" si="2"/>
        <v>11</v>
      </c>
      <c r="H28" s="6" t="str">
        <f ca="1">VLOOKUP(G28,Race3!$A$1:$B$12,2,FALSE)</f>
        <v>ORIENTAL CROWN</v>
      </c>
      <c r="I28" s="6">
        <f t="shared" ca="1" si="3"/>
        <v>1</v>
      </c>
      <c r="J28" s="6" t="str">
        <f ca="1">VLOOKUP(I28,Race4!$A$1:$B$13,2,FALSE)</f>
        <v>TIME AFTER TIME</v>
      </c>
      <c r="K28" s="6">
        <f t="shared" ca="1" si="4"/>
        <v>1</v>
      </c>
      <c r="L28" s="6" t="str">
        <f ca="1">VLOOKUP(K28,Race5!$A$1:$B$8,2,FALSE)</f>
        <v>AMANTE</v>
      </c>
      <c r="M28" s="6">
        <f t="shared" ca="1" si="5"/>
        <v>5</v>
      </c>
      <c r="N28" s="6" t="str">
        <f ca="1">VLOOKUP(M28,Race6!$A$1:$B$12,2,FALSE)</f>
        <v>ZAGAN(USA)</v>
      </c>
      <c r="O28" s="6">
        <f t="shared" ca="1" si="6"/>
        <v>9</v>
      </c>
      <c r="P28" s="6" t="str">
        <f ca="1">VLOOKUP(O28,Race7!$A$1:$B$15,2,FALSE)</f>
        <v>TWINKLED</v>
      </c>
      <c r="Q28" s="6">
        <f t="shared" ca="1" si="7"/>
        <v>8</v>
      </c>
      <c r="R28" s="6" t="str">
        <f ca="1">VLOOKUP(Q28,'Race 8'!$A$1:$B$9,2,FALSE)</f>
        <v>FIRE CRACKER</v>
      </c>
      <c r="S28" s="6">
        <f t="shared" ca="1" si="8"/>
        <v>11</v>
      </c>
      <c r="T28" s="6" t="str">
        <f ca="1">VLOOKUP(S28,Race9!$A$1:$B$12,2,FALSE)</f>
        <v>WHATYOUTHINK</v>
      </c>
    </row>
    <row r="29" spans="1:20" x14ac:dyDescent="0.2">
      <c r="A29" t="s">
        <v>39</v>
      </c>
      <c r="B29" s="1" t="s">
        <v>32</v>
      </c>
      <c r="C29" s="6">
        <f t="shared" ca="1" si="0"/>
        <v>3</v>
      </c>
      <c r="D29" s="6" t="str">
        <f ca="1">VLOOKUP(C29,Race1!$A$1:$B$17,2,FALSE)</f>
        <v>MAKEDA(Res 01)</v>
      </c>
      <c r="E29" s="6">
        <f t="shared" ca="1" si="1"/>
        <v>15</v>
      </c>
      <c r="F29" s="6" t="str">
        <f ca="1">VLOOKUP(E29,Race2!$A$1:$B$20,2,FALSE)</f>
        <v>HOWULIKEDISNAME</v>
      </c>
      <c r="G29" s="6">
        <f t="shared" ca="1" si="2"/>
        <v>4</v>
      </c>
      <c r="H29" s="6" t="str">
        <f ca="1">VLOOKUP(G29,Race3!$A$1:$B$12,2,FALSE)</f>
        <v>JUNIPERO AVENUE(USA)</v>
      </c>
      <c r="I29" s="6">
        <f t="shared" ca="1" si="3"/>
        <v>10</v>
      </c>
      <c r="J29" s="6" t="str">
        <f ca="1">VLOOKUP(I29,Race4!$A$1:$B$13,2,FALSE)</f>
        <v>MR. U S</v>
      </c>
      <c r="K29" s="6">
        <f t="shared" ca="1" si="4"/>
        <v>4</v>
      </c>
      <c r="L29" s="6" t="str">
        <f ca="1">VLOOKUP(K29,Race5!$A$1:$B$8,2,FALSE)</f>
        <v>RACHEL</v>
      </c>
      <c r="M29" s="6">
        <f t="shared" ca="1" si="5"/>
        <v>4</v>
      </c>
      <c r="N29" s="6" t="str">
        <f ca="1">VLOOKUP(M29,Race6!$A$1:$B$12,2,FALSE)</f>
        <v>TRINI AVIATOR(USA)</v>
      </c>
      <c r="O29" s="6">
        <f t="shared" ca="1" si="6"/>
        <v>10</v>
      </c>
      <c r="P29" s="6" t="str">
        <f ca="1">VLOOKUP(O29,Race7!$A$1:$B$15,2,FALSE)</f>
        <v>AGAINST HIS WILL</v>
      </c>
      <c r="Q29" s="6">
        <f t="shared" ca="1" si="7"/>
        <v>3</v>
      </c>
      <c r="R29" s="6" t="str">
        <f ca="1">VLOOKUP(Q29,'Race 8'!$A$1:$B$9,2,FALSE)</f>
        <v>KINGOFTHEVALLEY</v>
      </c>
      <c r="S29" s="6">
        <f t="shared" ca="1" si="8"/>
        <v>7</v>
      </c>
      <c r="T29" s="6" t="str">
        <f ca="1">VLOOKUP(S29,Race9!$A$1:$B$12,2,FALSE)</f>
        <v>FANTASTIC FRANCES</v>
      </c>
    </row>
    <row r="30" spans="1:20" x14ac:dyDescent="0.2">
      <c r="A30" t="s">
        <v>40</v>
      </c>
      <c r="B30" s="1" t="s">
        <v>32</v>
      </c>
      <c r="C30" s="6">
        <f t="shared" ca="1" si="0"/>
        <v>15</v>
      </c>
      <c r="D30" s="6" t="str">
        <f ca="1">VLOOKUP(C30,Race1!$A$1:$B$17,2,FALSE)</f>
        <v>DREAM SOCIETY</v>
      </c>
      <c r="E30" s="6">
        <f t="shared" ca="1" si="1"/>
        <v>1</v>
      </c>
      <c r="F30" s="6" t="str">
        <f ca="1">VLOOKUP(E30,Race2!$A$1:$B$20,2,FALSE)</f>
        <v>AMEASH(Res 06)</v>
      </c>
      <c r="G30" s="6">
        <f t="shared" ca="1" si="2"/>
        <v>11</v>
      </c>
      <c r="H30" s="6" t="str">
        <f ca="1">VLOOKUP(G30,Race3!$A$1:$B$12,2,FALSE)</f>
        <v>ORIENTAL CROWN</v>
      </c>
      <c r="I30" s="6">
        <f t="shared" ca="1" si="3"/>
        <v>1</v>
      </c>
      <c r="J30" s="6" t="str">
        <f ca="1">VLOOKUP(I30,Race4!$A$1:$B$13,2,FALSE)</f>
        <v>TIME AFTER TIME</v>
      </c>
      <c r="K30" s="6">
        <f t="shared" ca="1" si="4"/>
        <v>2</v>
      </c>
      <c r="L30" s="6" t="str">
        <f ca="1">VLOOKUP(K30,Race5!$A$1:$B$8,2,FALSE)</f>
        <v>ABSOLUT STAR</v>
      </c>
      <c r="M30" s="6">
        <f t="shared" ca="1" si="5"/>
        <v>1</v>
      </c>
      <c r="N30" s="6" t="str">
        <f ca="1">VLOOKUP(M30,Race6!$A$1:$B$12,2,FALSE)</f>
        <v>KARIBA STAR(USA)</v>
      </c>
      <c r="O30" s="6">
        <f t="shared" ca="1" si="6"/>
        <v>2</v>
      </c>
      <c r="P30" s="6" t="str">
        <f ca="1">VLOOKUP(O30,Race7!$A$1:$B$15,2,FALSE)</f>
        <v>WATCHMESLEWDEM</v>
      </c>
      <c r="Q30" s="6">
        <f t="shared" ca="1" si="7"/>
        <v>7</v>
      </c>
      <c r="R30" s="6" t="str">
        <f ca="1">VLOOKUP(Q30,'Race 8'!$A$1:$B$9,2,FALSE)</f>
        <v>LITTLE BUT LUCKY</v>
      </c>
      <c r="S30" s="6">
        <f t="shared" ca="1" si="8"/>
        <v>4</v>
      </c>
      <c r="T30" s="6" t="str">
        <f ca="1">VLOOKUP(S30,Race9!$A$1:$B$12,2,FALSE)</f>
        <v>PREMONITION</v>
      </c>
    </row>
    <row r="31" spans="1:20" x14ac:dyDescent="0.2">
      <c r="H31" s="6"/>
      <c r="J31" s="6"/>
      <c r="L31" s="6"/>
      <c r="N31" s="6"/>
      <c r="P31" s="6"/>
      <c r="R31" s="6"/>
      <c r="T31" s="6"/>
    </row>
    <row r="32" spans="1:20" x14ac:dyDescent="0.2">
      <c r="H32" s="6"/>
      <c r="J32" s="6"/>
      <c r="L32" s="6"/>
      <c r="N32" s="6"/>
      <c r="P32" s="6"/>
      <c r="R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" t="s">
        <v>180</v>
      </c>
      <c r="C34">
        <v>6</v>
      </c>
      <c r="D34" s="6" t="str">
        <f>(IF(ISBLANK(C34),"",VLOOKUP(C34,Race1!$A$1:$B$17,2,FALSE)))</f>
        <v>THUNDER LADY</v>
      </c>
      <c r="E34">
        <v>4</v>
      </c>
      <c r="F34" s="6" t="str">
        <f>IF(ISBLANK(E34),"",VLOOKUP(E34,Race2!$A$1:$B$20,2,FALSE))</f>
        <v>ST. DAVIDS</v>
      </c>
      <c r="G34">
        <v>4</v>
      </c>
      <c r="H34" s="6" t="str">
        <f>IF(ISBLANK(G34),"",VLOOKUP(G34,Race3!$A$1:$B$12,2,FALSE))</f>
        <v>JUNIPERO AVENUE(USA)</v>
      </c>
      <c r="I34">
        <v>4</v>
      </c>
      <c r="J34" s="6" t="str">
        <f>IF(ISBLANK(I34),"",VLOOKUP(I34,Race4!$A$1:$B$13,2,FALSE))</f>
        <v>PREACHER BOY</v>
      </c>
      <c r="K34">
        <v>8</v>
      </c>
      <c r="L34" s="6" t="str">
        <f>IF(ISBLANK(K34),"",VLOOKUP(K34,Race5!$A$1:$B$8,2,FALSE))</f>
        <v>QUEEN JUSTINA</v>
      </c>
      <c r="M34">
        <v>3</v>
      </c>
      <c r="N34" s="6" t="str">
        <f>IF(ISBLANK(M34),"",VLOOKUP(M34,Race6!$A$1:$B$12,2,FALSE))</f>
        <v>MASARU(GB)</v>
      </c>
      <c r="O34">
        <v>5</v>
      </c>
      <c r="P34" s="6" t="str">
        <f>IF(ISBLANK(O34),"",VLOOKUP(O34,Race7!$A$1:$B$15,2,FALSE))</f>
        <v>PETER QUILL</v>
      </c>
      <c r="Q34">
        <v>5</v>
      </c>
      <c r="R34" s="6" t="str">
        <f>IF(ISBLANK(Q34),"",VLOOKUP(Q34,'Race 8'!$A$1:$B$9,2,FALSE))</f>
        <v>BLACK ROCK</v>
      </c>
      <c r="S34">
        <v>6</v>
      </c>
      <c r="T34" s="6" t="str">
        <f>IF(ISBLANK(S34),"",VLOOKUP(S34,Race9!$A$1:$B$12,2,FALSE))</f>
        <v>SEBASTIAN</v>
      </c>
    </row>
    <row r="35" spans="1:20" x14ac:dyDescent="0.2">
      <c r="B35" s="1" t="s">
        <v>181</v>
      </c>
      <c r="C35">
        <v>7</v>
      </c>
      <c r="D35" s="6" t="str">
        <f>(IF(ISBLANK(C35),"",VLOOKUP(C35,Race1!$A$1:$B$17,2,FALSE)))</f>
        <v>RACHEL(Res 02)</v>
      </c>
      <c r="E35">
        <v>8</v>
      </c>
      <c r="F35" s="6" t="str">
        <f>IF(ISBLANK(E35),"",VLOOKUP(E35,Race2!$A$1:$B$20,2,FALSE))</f>
        <v>FILMORES(Res 04)</v>
      </c>
      <c r="G35">
        <v>5</v>
      </c>
      <c r="H35" s="6" t="str">
        <f>IF(ISBLANK(G35),"",VLOOKUP(G35,Race3!$A$1:$B$12,2,FALSE))</f>
        <v>INSPIRED ADVENTURE(USA)</v>
      </c>
      <c r="I35">
        <v>5</v>
      </c>
      <c r="J35" s="6" t="str">
        <f>IF(ISBLANK(I35),"",VLOOKUP(I35,Race4!$A$1:$B$13,2,FALSE))</f>
        <v>STORM FORCE</v>
      </c>
      <c r="K35">
        <v>6</v>
      </c>
      <c r="L35" s="6" t="str">
        <f>IF(ISBLANK(K35),"",VLOOKUP(K35,Race5!$A$1:$B$8,2,FALSE))</f>
        <v>MAKEDA</v>
      </c>
      <c r="M35">
        <v>6</v>
      </c>
      <c r="N35" s="6" t="str">
        <f>IF(ISBLANK(M35),"",VLOOKUP(M35,Race6!$A$1:$B$12,2,FALSE))</f>
        <v>JOSHUA</v>
      </c>
      <c r="O35">
        <v>7</v>
      </c>
      <c r="P35" s="6" t="str">
        <f>IF(ISBLANK(O35),"",VLOOKUP(O35,Race7!$A$1:$B$15,2,FALSE))</f>
        <v>ALKORO(Res 03)</v>
      </c>
      <c r="Q35">
        <v>6</v>
      </c>
      <c r="R35" s="6" t="str">
        <f>IF(ISBLANK(Q35),"",VLOOKUP(Q35,'Race 8'!$A$1:$B$9,2,FALSE))</f>
        <v>DONT DOUBT DORIS</v>
      </c>
      <c r="S35">
        <v>8</v>
      </c>
      <c r="T35" s="6" t="str">
        <f>IF(ISBLANK(S35),"",VLOOKUP(S35,Race9!$A$1:$B$12,2,FALSE))</f>
        <v>TROJAN</v>
      </c>
    </row>
    <row r="36" spans="1:20" x14ac:dyDescent="0.2">
      <c r="B36" s="1" t="s">
        <v>182</v>
      </c>
      <c r="C36">
        <v>8</v>
      </c>
      <c r="D36" s="6" t="str">
        <f>(IF(ISBLANK(C36),"",VLOOKUP(C36,Race1!$A$1:$B$17,2,FALSE)))</f>
        <v>ONEBILLIONUS</v>
      </c>
      <c r="E36">
        <v>9</v>
      </c>
      <c r="F36" s="6" t="str">
        <f>IF(ISBLANK(E36),"",VLOOKUP(E36,Race2!$A$1:$B$20,2,FALSE))</f>
        <v>AERODYNAMIC</v>
      </c>
      <c r="G36">
        <v>6</v>
      </c>
      <c r="H36" s="6" t="str">
        <f>IF(ISBLANK(G36),"",VLOOKUP(G36,Race3!$A$1:$B$12,2,FALSE))</f>
        <v>SEVENTEENMILLIONUS</v>
      </c>
      <c r="I36">
        <v>6</v>
      </c>
      <c r="J36" s="6" t="str">
        <f>IF(ISBLANK(I36),"",VLOOKUP(I36,Race4!$A$1:$B$13,2,FALSE))</f>
        <v>TOOTIGHTTOTALK</v>
      </c>
      <c r="K36">
        <v>4</v>
      </c>
      <c r="L36" s="6" t="str">
        <f>IF(ISBLANK(K36),"",VLOOKUP(K36,Race5!$A$1:$B$8,2,FALSE))</f>
        <v>RACHEL</v>
      </c>
      <c r="M36">
        <v>8</v>
      </c>
      <c r="N36" s="6" t="str">
        <f>IF(ISBLANK(M36),"",VLOOKUP(M36,Race6!$A$1:$B$12,2,FALSE))</f>
        <v>RADIAL FLYER(USA)</v>
      </c>
      <c r="O36">
        <v>9</v>
      </c>
      <c r="P36" s="6" t="str">
        <f>IF(ISBLANK(O36),"",VLOOKUP(O36,Race7!$A$1:$B$15,2,FALSE))</f>
        <v>TWINKLED</v>
      </c>
      <c r="Q36">
        <v>7</v>
      </c>
      <c r="R36" s="6" t="str">
        <f>IF(ISBLANK(Q36),"",VLOOKUP(Q36,'Race 8'!$A$1:$B$9,2,FALSE))</f>
        <v>LITTLE BUT LUCKY</v>
      </c>
      <c r="S36">
        <v>4</v>
      </c>
      <c r="T36" s="6" t="str">
        <f>IF(ISBLANK(S36),"",VLOOKUP(S36,Race9!$A$1:$B$12,2,FALSE))</f>
        <v>PREMONITION</v>
      </c>
    </row>
    <row r="37" spans="1:20" x14ac:dyDescent="0.2">
      <c r="D37" s="6"/>
    </row>
    <row r="43" spans="1:20" x14ac:dyDescent="0.2">
      <c r="B43" s="1" t="s">
        <v>42</v>
      </c>
      <c r="C43" s="1" t="s">
        <v>43</v>
      </c>
      <c r="D43" s="1" t="s">
        <v>44</v>
      </c>
      <c r="E43" s="1" t="s">
        <v>45</v>
      </c>
      <c r="F43" s="1" t="s">
        <v>46</v>
      </c>
      <c r="G43" s="1" t="s">
        <v>47</v>
      </c>
      <c r="H43" s="1" t="s">
        <v>48</v>
      </c>
      <c r="I43" s="1" t="s">
        <v>49</v>
      </c>
      <c r="J43" s="1" t="s">
        <v>50</v>
      </c>
    </row>
    <row r="44" spans="1:20" x14ac:dyDescent="0.2">
      <c r="A44" t="s">
        <v>7</v>
      </c>
      <c r="B44" s="9" t="str">
        <f ca="1">IF(C4=$C$34,"WIN",IF(C4=$C$35,"PLACE",IF(C4=$C$36,"SHOW","")))</f>
        <v/>
      </c>
      <c r="C44" s="6" t="str">
        <f ca="1">IF(E4=$E$34,"WIN",IF(E4=$E$35,"PLACE",IF(E4=$E$36,"SHOW","")))</f>
        <v/>
      </c>
      <c r="D44" s="6" t="str">
        <f ca="1">IF(G4=$G$34,"WIN",IF(G4=$G$35,"PLACE",IF(G4=$G$36,"SHOW","")))</f>
        <v/>
      </c>
      <c r="E44" s="6" t="str">
        <f ca="1">IF(I4=$I$34,"WIN",IF(I4=$I$35,"PLACE",IF(I4=$I$36,"SHOW","")))</f>
        <v>PLACE</v>
      </c>
      <c r="F44" s="6" t="str">
        <f ca="1">IF(K4=$K$35,"WIN",IF(K4=$K$36,"PLACE",IF(K4=$K$37,"SHOW","")))</f>
        <v/>
      </c>
      <c r="G44" s="6" t="str">
        <f ca="1">IF(M4=$M$35,"WIN",IF(M4=$M$36,"PLACE",IF(M4=$M$37,"SHOW","")))</f>
        <v/>
      </c>
      <c r="H44" s="6" t="str">
        <f ca="1">IF(O4=$O$34,"WIN",IF(O4=$O$35,"PLACE",IF(O4=$O$36,"SHOW","")))</f>
        <v/>
      </c>
      <c r="I44" s="6" t="str">
        <f ca="1">IF(Q4=$Q$34,"WIN",IF(Q4=$Q$35,"PLACE",IF(Q4=$Q$36,"SHOW","")))</f>
        <v>SHOW</v>
      </c>
      <c r="J44" s="6" t="str">
        <f ca="1">IF(S4=$S$34,"WIN",IF(S4=$S$35,"PLACE",IF(S4=$S$36,"SHOW","")))</f>
        <v/>
      </c>
    </row>
    <row r="45" spans="1:20" x14ac:dyDescent="0.2">
      <c r="A45" t="s">
        <v>22</v>
      </c>
      <c r="B45" s="9" t="str">
        <f t="shared" ref="B45:B70" ca="1" si="9">IF(C5=$C$34,"WIN",IF(C5=$C$35,"PLACE",IF(C5=$C$36,"SHOW","")))</f>
        <v/>
      </c>
      <c r="C45" s="6" t="str">
        <f t="shared" ref="C45:C70" ca="1" si="10">IF(E5=$E$34,"WIN",IF(E5=$E$35,"PLACE",IF(E5=$E$36,"SHOW","")))</f>
        <v/>
      </c>
      <c r="D45" s="6" t="str">
        <f t="shared" ref="D45:D70" ca="1" si="11">IF(G5=$G$34,"WIN",IF(G5=$G$35,"PLACE",IF(G5=$G$36,"SHOW","")))</f>
        <v/>
      </c>
      <c r="E45" s="6" t="str">
        <f t="shared" ref="E45:E70" ca="1" si="12">IF(I5=$I$34,"WIN",IF(I5=$I$35,"PLACE",IF(I5=$I$36,"SHOW","")))</f>
        <v/>
      </c>
      <c r="F45" s="6" t="str">
        <f t="shared" ref="F45:F70" ca="1" si="13">IF(K5=$K$35,"WIN",IF(K5=$K$36,"PLACE",IF(K5=$K$37,"SHOW","")))</f>
        <v/>
      </c>
      <c r="G45" s="6" t="str">
        <f t="shared" ref="G45:G70" ca="1" si="14">IF(M5=$M$35,"WIN",IF(M5=$M$36,"PLACE",IF(M5=$M$37,"SHOW","")))</f>
        <v/>
      </c>
      <c r="H45" s="6" t="str">
        <f t="shared" ref="H45:H70" ca="1" si="15">IF(O5=$O$34,"WIN",IF(O5=$O$35,"PLACE",IF(O5=$O$36,"SHOW","")))</f>
        <v/>
      </c>
      <c r="I45" s="6" t="str">
        <f t="shared" ref="I45:I71" ca="1" si="16">IF(Q5=$Q$34,"WIN",IF(Q5=$Q$35,"PLACE",IF(Q5=$Q$36,"SHOW","")))</f>
        <v>WIN</v>
      </c>
      <c r="J45" s="6" t="str">
        <f t="shared" ref="J45:J71" ca="1" si="17">IF(S5=$S$34,"WIN",IF(S5=$S$35,"PLACE",IF(S5=$S$36,"SHOW","")))</f>
        <v/>
      </c>
    </row>
    <row r="46" spans="1:20" x14ac:dyDescent="0.2">
      <c r="A46" t="s">
        <v>6</v>
      </c>
      <c r="B46" s="9" t="str">
        <f t="shared" ca="1" si="9"/>
        <v/>
      </c>
      <c r="C46" s="6" t="str">
        <f t="shared" ca="1" si="10"/>
        <v/>
      </c>
      <c r="D46" s="6" t="str">
        <f t="shared" ca="1" si="11"/>
        <v/>
      </c>
      <c r="E46" s="6" t="str">
        <f t="shared" ca="1" si="12"/>
        <v/>
      </c>
      <c r="F46" s="6" t="str">
        <f t="shared" ca="1" si="13"/>
        <v/>
      </c>
      <c r="G46" s="6" t="str">
        <f t="shared" ca="1" si="14"/>
        <v/>
      </c>
      <c r="H46" s="6" t="str">
        <f t="shared" ca="1" si="15"/>
        <v/>
      </c>
      <c r="I46" s="6" t="str">
        <f t="shared" ca="1" si="16"/>
        <v/>
      </c>
      <c r="J46" s="6" t="str">
        <f t="shared" ca="1" si="17"/>
        <v/>
      </c>
    </row>
    <row r="47" spans="1:20" x14ac:dyDescent="0.2">
      <c r="A47" t="s">
        <v>9</v>
      </c>
      <c r="B47" s="9" t="str">
        <f t="shared" ca="1" si="9"/>
        <v/>
      </c>
      <c r="C47" s="6" t="str">
        <f t="shared" ca="1" si="10"/>
        <v/>
      </c>
      <c r="D47" s="6" t="str">
        <f t="shared" ca="1" si="11"/>
        <v/>
      </c>
      <c r="E47" s="6" t="str">
        <f t="shared" ca="1" si="12"/>
        <v>PLACE</v>
      </c>
      <c r="F47" s="6" t="str">
        <f t="shared" ca="1" si="13"/>
        <v/>
      </c>
      <c r="G47" s="6" t="str">
        <f t="shared" ca="1" si="14"/>
        <v/>
      </c>
      <c r="H47" s="6" t="str">
        <f t="shared" ca="1" si="15"/>
        <v/>
      </c>
      <c r="I47" s="6" t="str">
        <f t="shared" ca="1" si="16"/>
        <v/>
      </c>
      <c r="J47" s="6" t="str">
        <f t="shared" ca="1" si="17"/>
        <v/>
      </c>
    </row>
    <row r="48" spans="1:20" x14ac:dyDescent="0.2">
      <c r="A48" t="s">
        <v>4</v>
      </c>
      <c r="B48" s="9" t="str">
        <f t="shared" ca="1" si="9"/>
        <v/>
      </c>
      <c r="C48" s="6" t="str">
        <f t="shared" ca="1" si="10"/>
        <v/>
      </c>
      <c r="D48" s="6" t="str">
        <f t="shared" ca="1" si="11"/>
        <v/>
      </c>
      <c r="E48" s="6" t="str">
        <f t="shared" ca="1" si="12"/>
        <v/>
      </c>
      <c r="F48" s="6" t="str">
        <f t="shared" ca="1" si="13"/>
        <v/>
      </c>
      <c r="G48" s="6" t="str">
        <f t="shared" ca="1" si="14"/>
        <v/>
      </c>
      <c r="H48" s="6" t="str">
        <f t="shared" ca="1" si="15"/>
        <v/>
      </c>
      <c r="I48" s="6" t="str">
        <f t="shared" ca="1" si="16"/>
        <v/>
      </c>
      <c r="J48" s="6" t="str">
        <f t="shared" ca="1" si="17"/>
        <v/>
      </c>
    </row>
    <row r="49" spans="1:10" x14ac:dyDescent="0.2">
      <c r="A49" t="s">
        <v>12</v>
      </c>
      <c r="B49" s="9" t="str">
        <f t="shared" ca="1" si="9"/>
        <v/>
      </c>
      <c r="C49" s="6" t="str">
        <f t="shared" ca="1" si="10"/>
        <v>PLACE</v>
      </c>
      <c r="D49" s="6" t="str">
        <f t="shared" ca="1" si="11"/>
        <v>WIN</v>
      </c>
      <c r="E49" s="6" t="str">
        <f t="shared" ca="1" si="12"/>
        <v/>
      </c>
      <c r="F49" s="6" t="str">
        <f t="shared" ca="1" si="13"/>
        <v/>
      </c>
      <c r="G49" s="6" t="str">
        <f t="shared" ca="1" si="14"/>
        <v>WIN</v>
      </c>
      <c r="H49" s="6" t="str">
        <f t="shared" ca="1" si="15"/>
        <v/>
      </c>
      <c r="I49" s="6" t="str">
        <f t="shared" ca="1" si="16"/>
        <v/>
      </c>
      <c r="J49" s="6" t="str">
        <f t="shared" ca="1" si="17"/>
        <v/>
      </c>
    </row>
    <row r="50" spans="1:10" x14ac:dyDescent="0.2">
      <c r="A50" t="s">
        <v>8</v>
      </c>
      <c r="B50" s="9" t="str">
        <f t="shared" ca="1" si="9"/>
        <v>PLACE</v>
      </c>
      <c r="C50" s="6" t="str">
        <f t="shared" ca="1" si="10"/>
        <v>WIN</v>
      </c>
      <c r="D50" s="6" t="str">
        <f t="shared" ca="1" si="11"/>
        <v/>
      </c>
      <c r="E50" s="6" t="str">
        <f t="shared" ca="1" si="12"/>
        <v/>
      </c>
      <c r="F50" s="6" t="str">
        <f t="shared" ca="1" si="13"/>
        <v/>
      </c>
      <c r="G50" s="6" t="str">
        <f t="shared" ca="1" si="14"/>
        <v>WIN</v>
      </c>
      <c r="H50" s="6" t="str">
        <f t="shared" ca="1" si="15"/>
        <v/>
      </c>
      <c r="I50" s="6" t="str">
        <f t="shared" ca="1" si="16"/>
        <v/>
      </c>
      <c r="J50" s="6" t="str">
        <f t="shared" ca="1" si="17"/>
        <v/>
      </c>
    </row>
    <row r="51" spans="1:10" x14ac:dyDescent="0.2">
      <c r="A51" t="s">
        <v>3</v>
      </c>
      <c r="B51" s="9" t="str">
        <f t="shared" ca="1" si="9"/>
        <v/>
      </c>
      <c r="C51" s="6" t="str">
        <f t="shared" ca="1" si="10"/>
        <v/>
      </c>
      <c r="D51" s="6" t="str">
        <f t="shared" ca="1" si="11"/>
        <v/>
      </c>
      <c r="E51" s="6" t="str">
        <f t="shared" ca="1" si="12"/>
        <v/>
      </c>
      <c r="F51" s="6" t="str">
        <f t="shared" ca="1" si="13"/>
        <v/>
      </c>
      <c r="G51" s="6" t="str">
        <f t="shared" ca="1" si="14"/>
        <v/>
      </c>
      <c r="H51" s="6" t="str">
        <f t="shared" ca="1" si="15"/>
        <v/>
      </c>
      <c r="I51" s="6" t="str">
        <f t="shared" ca="1" si="16"/>
        <v/>
      </c>
      <c r="J51" s="6" t="str">
        <f t="shared" ca="1" si="17"/>
        <v>PLACE</v>
      </c>
    </row>
    <row r="52" spans="1:10" x14ac:dyDescent="0.2">
      <c r="A52" t="s">
        <v>11</v>
      </c>
      <c r="B52" s="9" t="str">
        <f t="shared" ca="1" si="9"/>
        <v/>
      </c>
      <c r="C52" s="6" t="str">
        <f t="shared" ca="1" si="10"/>
        <v/>
      </c>
      <c r="D52" s="6" t="str">
        <f t="shared" ca="1" si="11"/>
        <v/>
      </c>
      <c r="E52" s="6" t="str">
        <f t="shared" ca="1" si="12"/>
        <v/>
      </c>
      <c r="F52" s="6" t="str">
        <f t="shared" ca="1" si="13"/>
        <v>WIN</v>
      </c>
      <c r="G52" s="6" t="str">
        <f t="shared" ca="1" si="14"/>
        <v/>
      </c>
      <c r="H52" s="6" t="str">
        <f t="shared" ca="1" si="15"/>
        <v/>
      </c>
      <c r="I52" s="6" t="str">
        <f t="shared" ca="1" si="16"/>
        <v>WIN</v>
      </c>
      <c r="J52" s="6" t="str">
        <f t="shared" ca="1" si="17"/>
        <v>WIN</v>
      </c>
    </row>
    <row r="53" spans="1:10" x14ac:dyDescent="0.2">
      <c r="A53" t="s">
        <v>10</v>
      </c>
      <c r="B53" s="9" t="str">
        <f t="shared" ca="1" si="9"/>
        <v/>
      </c>
      <c r="C53" s="6" t="str">
        <f t="shared" ca="1" si="10"/>
        <v>SHOW</v>
      </c>
      <c r="D53" s="6" t="str">
        <f t="shared" ca="1" si="11"/>
        <v/>
      </c>
      <c r="E53" s="6" t="str">
        <f t="shared" ca="1" si="12"/>
        <v>WIN</v>
      </c>
      <c r="F53" s="6" t="str">
        <f t="shared" ca="1" si="13"/>
        <v/>
      </c>
      <c r="G53" s="6" t="str">
        <f t="shared" ca="1" si="14"/>
        <v/>
      </c>
      <c r="H53" s="6" t="str">
        <f t="shared" ca="1" si="15"/>
        <v/>
      </c>
      <c r="I53" s="6" t="str">
        <f t="shared" ca="1" si="16"/>
        <v>SHOW</v>
      </c>
      <c r="J53" s="6" t="str">
        <f t="shared" ca="1" si="17"/>
        <v>WIN</v>
      </c>
    </row>
    <row r="54" spans="1:10" x14ac:dyDescent="0.2">
      <c r="A54" t="s">
        <v>2</v>
      </c>
      <c r="B54" s="9" t="str">
        <f t="shared" ca="1" si="9"/>
        <v/>
      </c>
      <c r="C54" s="6" t="str">
        <f t="shared" ca="1" si="10"/>
        <v/>
      </c>
      <c r="D54" s="6" t="str">
        <f t="shared" ca="1" si="11"/>
        <v/>
      </c>
      <c r="E54" s="6" t="str">
        <f t="shared" ca="1" si="12"/>
        <v>PLACE</v>
      </c>
      <c r="F54" s="6" t="str">
        <f t="shared" ca="1" si="13"/>
        <v/>
      </c>
      <c r="G54" s="6" t="str">
        <f t="shared" ca="1" si="14"/>
        <v/>
      </c>
      <c r="H54" s="6" t="str">
        <f t="shared" ca="1" si="15"/>
        <v/>
      </c>
      <c r="I54" s="6" t="str">
        <f ca="1">IF(Q14=$Q$34,"WIN",IF(Q14=$Q$35,"PLACE",IF(Q14=$Q$36,"SHOW","")))</f>
        <v>SHOW</v>
      </c>
      <c r="J54" s="6" t="str">
        <f t="shared" ca="1" si="17"/>
        <v/>
      </c>
    </row>
    <row r="55" spans="1:10" x14ac:dyDescent="0.2">
      <c r="A55" t="s">
        <v>5</v>
      </c>
      <c r="B55" s="9" t="str">
        <f t="shared" ca="1" si="9"/>
        <v/>
      </c>
      <c r="C55" s="6" t="str">
        <f t="shared" ca="1" si="10"/>
        <v/>
      </c>
      <c r="D55" s="6" t="str">
        <f t="shared" ca="1" si="11"/>
        <v>PLACE</v>
      </c>
      <c r="E55" s="6" t="str">
        <f t="shared" ca="1" si="12"/>
        <v/>
      </c>
      <c r="F55" s="6" t="str">
        <f t="shared" ca="1" si="13"/>
        <v>PLACE</v>
      </c>
      <c r="G55" s="6" t="str">
        <f t="shared" ca="1" si="14"/>
        <v/>
      </c>
      <c r="H55" s="6" t="str">
        <f t="shared" ca="1" si="15"/>
        <v/>
      </c>
      <c r="I55" s="6" t="str">
        <f t="shared" ca="1" si="16"/>
        <v>PLACE</v>
      </c>
      <c r="J55" s="6" t="str">
        <f t="shared" ca="1" si="17"/>
        <v/>
      </c>
    </row>
    <row r="56" spans="1:10" x14ac:dyDescent="0.2">
      <c r="A56" t="s">
        <v>15</v>
      </c>
      <c r="B56" s="9" t="str">
        <f t="shared" ca="1" si="9"/>
        <v>WIN</v>
      </c>
      <c r="C56" s="6" t="str">
        <f t="shared" ca="1" si="10"/>
        <v/>
      </c>
      <c r="D56" s="6" t="str">
        <f t="shared" ca="1" si="11"/>
        <v/>
      </c>
      <c r="E56" s="6" t="str">
        <f t="shared" ca="1" si="12"/>
        <v/>
      </c>
      <c r="F56" s="6" t="str">
        <f t="shared" ca="1" si="13"/>
        <v/>
      </c>
      <c r="G56" s="6" t="str">
        <f t="shared" ca="1" si="14"/>
        <v/>
      </c>
      <c r="H56" s="6" t="str">
        <f t="shared" ca="1" si="15"/>
        <v>PLACE</v>
      </c>
      <c r="I56" s="6" t="str">
        <f t="shared" ca="1" si="16"/>
        <v/>
      </c>
      <c r="J56" s="6" t="str">
        <f t="shared" ca="1" si="17"/>
        <v/>
      </c>
    </row>
    <row r="57" spans="1:10" x14ac:dyDescent="0.2">
      <c r="A57" t="s">
        <v>1</v>
      </c>
      <c r="B57" s="9" t="str">
        <f t="shared" ca="1" si="9"/>
        <v/>
      </c>
      <c r="C57" s="6" t="str">
        <f t="shared" ca="1" si="10"/>
        <v/>
      </c>
      <c r="D57" s="6" t="str">
        <f t="shared" ca="1" si="11"/>
        <v>SHOW</v>
      </c>
      <c r="E57" s="6" t="str">
        <f t="shared" ca="1" si="12"/>
        <v>SHOW</v>
      </c>
      <c r="F57" s="6" t="str">
        <f t="shared" ca="1" si="13"/>
        <v/>
      </c>
      <c r="G57" s="6" t="str">
        <f t="shared" ca="1" si="14"/>
        <v/>
      </c>
      <c r="H57" s="6" t="str">
        <f t="shared" ca="1" si="15"/>
        <v/>
      </c>
      <c r="I57" s="6" t="str">
        <f t="shared" ca="1" si="16"/>
        <v/>
      </c>
      <c r="J57" s="6" t="str">
        <f t="shared" ca="1" si="17"/>
        <v/>
      </c>
    </row>
    <row r="58" spans="1:10" x14ac:dyDescent="0.2">
      <c r="A58" t="s">
        <v>0</v>
      </c>
      <c r="B58" s="9" t="str">
        <f t="shared" ca="1" si="9"/>
        <v/>
      </c>
      <c r="C58" s="6" t="str">
        <f t="shared" ca="1" si="10"/>
        <v/>
      </c>
      <c r="D58" s="6" t="str">
        <f t="shared" ca="1" si="11"/>
        <v>PLACE</v>
      </c>
      <c r="E58" s="6" t="str">
        <f t="shared" ca="1" si="12"/>
        <v/>
      </c>
      <c r="F58" s="6" t="str">
        <f t="shared" ca="1" si="13"/>
        <v>PLACE</v>
      </c>
      <c r="G58" s="6" t="str">
        <f t="shared" ca="1" si="14"/>
        <v/>
      </c>
      <c r="H58" s="6" t="str">
        <f t="shared" ca="1" si="15"/>
        <v/>
      </c>
      <c r="I58" s="6" t="str">
        <f t="shared" ca="1" si="16"/>
        <v/>
      </c>
      <c r="J58" s="6" t="str">
        <f t="shared" ca="1" si="17"/>
        <v/>
      </c>
    </row>
    <row r="59" spans="1:10" x14ac:dyDescent="0.2">
      <c r="A59" t="s">
        <v>23</v>
      </c>
      <c r="B59" s="9" t="str">
        <f t="shared" ca="1" si="9"/>
        <v/>
      </c>
      <c r="C59" s="6" t="str">
        <f t="shared" ca="1" si="10"/>
        <v/>
      </c>
      <c r="D59" s="6" t="str">
        <f t="shared" ca="1" si="11"/>
        <v>PLACE</v>
      </c>
      <c r="E59" s="6" t="str">
        <f t="shared" ca="1" si="12"/>
        <v/>
      </c>
      <c r="F59" s="6" t="str">
        <f t="shared" ca="1" si="13"/>
        <v/>
      </c>
      <c r="G59" s="6" t="str">
        <f t="shared" ca="1" si="14"/>
        <v/>
      </c>
      <c r="H59" s="6" t="str">
        <f t="shared" ca="1" si="15"/>
        <v/>
      </c>
      <c r="I59" s="6" t="str">
        <f t="shared" ca="1" si="16"/>
        <v/>
      </c>
      <c r="J59" s="6" t="str">
        <f t="shared" ca="1" si="17"/>
        <v/>
      </c>
    </row>
    <row r="60" spans="1:10" x14ac:dyDescent="0.2">
      <c r="A60" t="s">
        <v>24</v>
      </c>
      <c r="B60" s="9" t="str">
        <f t="shared" ca="1" si="9"/>
        <v>PLACE</v>
      </c>
      <c r="C60" s="6" t="str">
        <f t="shared" ca="1" si="10"/>
        <v>SHOW</v>
      </c>
      <c r="D60" s="6" t="str">
        <f t="shared" ca="1" si="11"/>
        <v>PLACE</v>
      </c>
      <c r="E60" s="6" t="str">
        <f t="shared" ca="1" si="12"/>
        <v>SHOW</v>
      </c>
      <c r="F60" s="6" t="str">
        <f t="shared" ca="1" si="13"/>
        <v/>
      </c>
      <c r="G60" s="6" t="str">
        <f t="shared" ca="1" si="14"/>
        <v/>
      </c>
      <c r="H60" s="6" t="str">
        <f t="shared" ca="1" si="15"/>
        <v/>
      </c>
      <c r="I60" s="6" t="str">
        <f t="shared" ca="1" si="16"/>
        <v/>
      </c>
      <c r="J60" s="6" t="str">
        <f t="shared" ca="1" si="17"/>
        <v/>
      </c>
    </row>
    <row r="61" spans="1:10" x14ac:dyDescent="0.2">
      <c r="A61" t="s">
        <v>25</v>
      </c>
      <c r="B61" s="9" t="str">
        <f t="shared" ca="1" si="9"/>
        <v/>
      </c>
      <c r="C61" s="6" t="str">
        <f t="shared" ca="1" si="10"/>
        <v/>
      </c>
      <c r="D61" s="6" t="str">
        <f t="shared" ca="1" si="11"/>
        <v>WIN</v>
      </c>
      <c r="E61" s="6" t="str">
        <f t="shared" ca="1" si="12"/>
        <v/>
      </c>
      <c r="F61" s="6" t="str">
        <f t="shared" ca="1" si="13"/>
        <v/>
      </c>
      <c r="G61" s="6" t="str">
        <f t="shared" ca="1" si="14"/>
        <v/>
      </c>
      <c r="H61" s="6" t="str">
        <f t="shared" ca="1" si="15"/>
        <v/>
      </c>
      <c r="I61" s="6" t="str">
        <f t="shared" ca="1" si="16"/>
        <v>PLACE</v>
      </c>
      <c r="J61" s="6" t="str">
        <f t="shared" ca="1" si="17"/>
        <v>WIN</v>
      </c>
    </row>
    <row r="62" spans="1:10" x14ac:dyDescent="0.2">
      <c r="A62" t="s">
        <v>26</v>
      </c>
      <c r="B62" s="9" t="str">
        <f t="shared" ca="1" si="9"/>
        <v/>
      </c>
      <c r="C62" s="6" t="str">
        <f t="shared" ca="1" si="10"/>
        <v>PLACE</v>
      </c>
      <c r="D62" s="6" t="str">
        <f t="shared" ca="1" si="11"/>
        <v/>
      </c>
      <c r="E62" s="6" t="str">
        <f t="shared" ca="1" si="12"/>
        <v/>
      </c>
      <c r="F62" s="6" t="str">
        <f t="shared" ca="1" si="13"/>
        <v/>
      </c>
      <c r="G62" s="6" t="str">
        <f t="shared" ca="1" si="14"/>
        <v/>
      </c>
      <c r="H62" s="6" t="str">
        <f t="shared" ca="1" si="15"/>
        <v/>
      </c>
      <c r="I62" s="6" t="str">
        <f t="shared" ca="1" si="16"/>
        <v/>
      </c>
      <c r="J62" s="6" t="str">
        <f t="shared" ca="1" si="17"/>
        <v>SHOW</v>
      </c>
    </row>
    <row r="63" spans="1:10" x14ac:dyDescent="0.2">
      <c r="A63" t="s">
        <v>27</v>
      </c>
      <c r="B63" s="9" t="str">
        <f t="shared" ca="1" si="9"/>
        <v/>
      </c>
      <c r="C63" s="6" t="str">
        <f t="shared" ca="1" si="10"/>
        <v/>
      </c>
      <c r="D63" s="6" t="str">
        <f t="shared" ca="1" si="11"/>
        <v/>
      </c>
      <c r="E63" s="6" t="str">
        <f t="shared" ca="1" si="12"/>
        <v/>
      </c>
      <c r="F63" s="6" t="str">
        <f t="shared" ca="1" si="13"/>
        <v/>
      </c>
      <c r="G63" s="6" t="str">
        <f t="shared" ca="1" si="14"/>
        <v/>
      </c>
      <c r="H63" s="6" t="str">
        <f t="shared" ca="1" si="15"/>
        <v>WIN</v>
      </c>
      <c r="I63" s="6" t="str">
        <f t="shared" ca="1" si="16"/>
        <v/>
      </c>
      <c r="J63" s="6" t="str">
        <f t="shared" ca="1" si="17"/>
        <v/>
      </c>
    </row>
    <row r="64" spans="1:10" x14ac:dyDescent="0.2">
      <c r="A64" t="s">
        <v>29</v>
      </c>
      <c r="B64" s="9" t="str">
        <f t="shared" ca="1" si="9"/>
        <v/>
      </c>
      <c r="C64" s="6" t="str">
        <f t="shared" ca="1" si="10"/>
        <v/>
      </c>
      <c r="D64" s="6" t="str">
        <f t="shared" ca="1" si="11"/>
        <v/>
      </c>
      <c r="E64" s="6" t="str">
        <f t="shared" ca="1" si="12"/>
        <v/>
      </c>
      <c r="F64" s="6" t="str">
        <f t="shared" ca="1" si="13"/>
        <v>PLACE</v>
      </c>
      <c r="G64" s="6" t="str">
        <f t="shared" ca="1" si="14"/>
        <v/>
      </c>
      <c r="H64" s="6" t="str">
        <f t="shared" ca="1" si="15"/>
        <v/>
      </c>
      <c r="I64" s="6" t="str">
        <f t="shared" ca="1" si="16"/>
        <v>WIN</v>
      </c>
      <c r="J64" s="6" t="str">
        <f t="shared" ca="1" si="17"/>
        <v/>
      </c>
    </row>
    <row r="65" spans="1:10" x14ac:dyDescent="0.2">
      <c r="A65" t="s">
        <v>35</v>
      </c>
      <c r="B65" s="9" t="str">
        <f t="shared" ca="1" si="9"/>
        <v/>
      </c>
      <c r="C65" s="6" t="str">
        <f t="shared" ca="1" si="10"/>
        <v/>
      </c>
      <c r="D65" s="6" t="str">
        <f t="shared" ca="1" si="11"/>
        <v/>
      </c>
      <c r="E65" s="6" t="str">
        <f t="shared" ca="1" si="12"/>
        <v>SHOW</v>
      </c>
      <c r="F65" s="6" t="str">
        <f t="shared" ca="1" si="13"/>
        <v/>
      </c>
      <c r="G65" s="6" t="str">
        <f t="shared" ca="1" si="14"/>
        <v/>
      </c>
      <c r="H65" s="6" t="str">
        <f t="shared" ca="1" si="15"/>
        <v/>
      </c>
      <c r="I65" s="6" t="str">
        <f t="shared" ca="1" si="16"/>
        <v/>
      </c>
      <c r="J65" s="6" t="str">
        <f t="shared" ca="1" si="17"/>
        <v>SHOW</v>
      </c>
    </row>
    <row r="66" spans="1:10" x14ac:dyDescent="0.2">
      <c r="A66" t="s">
        <v>37</v>
      </c>
      <c r="B66" s="9" t="str">
        <f t="shared" ca="1" si="9"/>
        <v>SHOW</v>
      </c>
      <c r="C66" s="6" t="str">
        <f t="shared" ca="1" si="10"/>
        <v/>
      </c>
      <c r="D66" s="6" t="str">
        <f t="shared" ca="1" si="11"/>
        <v/>
      </c>
      <c r="E66" s="6" t="str">
        <f t="shared" ca="1" si="12"/>
        <v/>
      </c>
      <c r="F66" s="6" t="str">
        <f t="shared" ca="1" si="13"/>
        <v/>
      </c>
      <c r="G66" s="6" t="str">
        <f t="shared" ca="1" si="14"/>
        <v/>
      </c>
      <c r="H66" s="6" t="str">
        <f t="shared" ca="1" si="15"/>
        <v>SHOW</v>
      </c>
      <c r="I66" s="6" t="str">
        <f t="shared" ca="1" si="16"/>
        <v/>
      </c>
      <c r="J66" s="6" t="str">
        <f t="shared" ca="1" si="17"/>
        <v>SHOW</v>
      </c>
    </row>
    <row r="67" spans="1:10" x14ac:dyDescent="0.2">
      <c r="A67" t="s">
        <v>36</v>
      </c>
      <c r="B67" s="9" t="str">
        <f t="shared" ca="1" si="9"/>
        <v/>
      </c>
      <c r="C67" s="6" t="str">
        <f t="shared" ca="1" si="10"/>
        <v/>
      </c>
      <c r="D67" s="6" t="str">
        <f t="shared" ca="1" si="11"/>
        <v/>
      </c>
      <c r="E67" s="6" t="str">
        <f t="shared" ca="1" si="12"/>
        <v/>
      </c>
      <c r="F67" s="6" t="str">
        <f t="shared" ca="1" si="13"/>
        <v>PLACE</v>
      </c>
      <c r="G67" s="6" t="str">
        <f t="shared" ca="1" si="14"/>
        <v>WIN</v>
      </c>
      <c r="H67" s="6" t="str">
        <f t="shared" ca="1" si="15"/>
        <v/>
      </c>
      <c r="I67" s="6" t="str">
        <f t="shared" ca="1" si="16"/>
        <v>PLACE</v>
      </c>
      <c r="J67" s="6" t="str">
        <f t="shared" ca="1" si="17"/>
        <v/>
      </c>
    </row>
    <row r="68" spans="1:10" x14ac:dyDescent="0.2">
      <c r="A68" t="s">
        <v>38</v>
      </c>
      <c r="B68" s="9" t="str">
        <f t="shared" ca="1" si="9"/>
        <v>WIN</v>
      </c>
      <c r="C68" s="6" t="str">
        <f t="shared" ca="1" si="10"/>
        <v>WIN</v>
      </c>
      <c r="D68" s="6" t="str">
        <f t="shared" ca="1" si="11"/>
        <v/>
      </c>
      <c r="E68" s="6" t="str">
        <f t="shared" ca="1" si="12"/>
        <v/>
      </c>
      <c r="F68" s="6" t="str">
        <f t="shared" ca="1" si="13"/>
        <v/>
      </c>
      <c r="G68" s="6" t="str">
        <f t="shared" ca="1" si="14"/>
        <v/>
      </c>
      <c r="H68" s="6" t="str">
        <f t="shared" ca="1" si="15"/>
        <v>SHOW</v>
      </c>
      <c r="I68" s="6" t="str">
        <f t="shared" ca="1" si="16"/>
        <v/>
      </c>
      <c r="J68" s="6" t="str">
        <f t="shared" ca="1" si="17"/>
        <v/>
      </c>
    </row>
    <row r="69" spans="1:10" x14ac:dyDescent="0.2">
      <c r="A69" t="s">
        <v>39</v>
      </c>
      <c r="B69" s="9" t="str">
        <f t="shared" ca="1" si="9"/>
        <v/>
      </c>
      <c r="C69" s="6" t="str">
        <f t="shared" ca="1" si="10"/>
        <v/>
      </c>
      <c r="D69" s="6" t="str">
        <f t="shared" ca="1" si="11"/>
        <v>WIN</v>
      </c>
      <c r="E69" s="6" t="str">
        <f t="shared" ca="1" si="12"/>
        <v/>
      </c>
      <c r="F69" s="6" t="str">
        <f t="shared" ca="1" si="13"/>
        <v>PLACE</v>
      </c>
      <c r="G69" s="6" t="str">
        <f t="shared" ca="1" si="14"/>
        <v/>
      </c>
      <c r="H69" s="6" t="str">
        <f t="shared" ca="1" si="15"/>
        <v/>
      </c>
      <c r="I69" s="6" t="str">
        <f t="shared" ca="1" si="16"/>
        <v/>
      </c>
      <c r="J69" s="6" t="str">
        <f t="shared" ca="1" si="17"/>
        <v/>
      </c>
    </row>
    <row r="70" spans="1:10" x14ac:dyDescent="0.2">
      <c r="A70" t="s">
        <v>40</v>
      </c>
      <c r="B70" s="9" t="str">
        <f t="shared" ca="1" si="9"/>
        <v/>
      </c>
      <c r="C70" s="6" t="str">
        <f t="shared" ca="1" si="10"/>
        <v/>
      </c>
      <c r="D70" s="6" t="str">
        <f t="shared" ca="1" si="11"/>
        <v/>
      </c>
      <c r="E70" s="6" t="str">
        <f t="shared" ca="1" si="12"/>
        <v/>
      </c>
      <c r="F70" s="6" t="str">
        <f t="shared" ca="1" si="13"/>
        <v/>
      </c>
      <c r="G70" s="6" t="str">
        <f t="shared" ca="1" si="14"/>
        <v/>
      </c>
      <c r="H70" s="6" t="str">
        <f t="shared" ca="1" si="15"/>
        <v/>
      </c>
      <c r="I70" s="6" t="str">
        <f t="shared" ca="1" si="16"/>
        <v>SHOW</v>
      </c>
      <c r="J70" s="6" t="str">
        <f t="shared" ca="1" si="17"/>
        <v>SHOW</v>
      </c>
    </row>
    <row r="72" spans="1:10" x14ac:dyDescent="0.2">
      <c r="A72" t="s">
        <v>183</v>
      </c>
    </row>
    <row r="73" spans="1:10" x14ac:dyDescent="0.2">
      <c r="A73" t="s">
        <v>184</v>
      </c>
    </row>
    <row r="74" spans="1:10" x14ac:dyDescent="0.2">
      <c r="A74" t="s">
        <v>185</v>
      </c>
    </row>
  </sheetData>
  <sortState ref="A2:B16">
    <sortCondition ref="A2:A16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0">
    <cfRule type="containsText" dxfId="3" priority="3" operator="containsText" text="WIN">
      <formula>NOT(ISERROR(SEARCH("WIN",B44)))</formula>
    </cfRule>
    <cfRule type="containsText" dxfId="4" priority="2" operator="containsText" text="PLACE">
      <formula>NOT(ISERROR(SEARCH("PLACE",B44)))</formula>
    </cfRule>
    <cfRule type="containsText" dxfId="2" priority="1" operator="containsText" text="SHOW">
      <formula>NOT(ISERROR(SEARCH("SHOW",B44)))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>
      <selection activeCell="B12" sqref="B12"/>
    </sheetView>
  </sheetViews>
  <sheetFormatPr baseColWidth="10" defaultRowHeight="16" x14ac:dyDescent="0.2"/>
  <sheetData>
    <row r="1" spans="1:2" x14ac:dyDescent="0.2">
      <c r="A1">
        <v>1</v>
      </c>
      <c r="B1" t="s">
        <v>60</v>
      </c>
    </row>
    <row r="2" spans="1:2" x14ac:dyDescent="0.2">
      <c r="A2">
        <v>2</v>
      </c>
      <c r="B2" t="s">
        <v>61</v>
      </c>
    </row>
    <row r="3" spans="1:2" x14ac:dyDescent="0.2">
      <c r="A3">
        <v>3</v>
      </c>
      <c r="B3" t="s">
        <v>62</v>
      </c>
    </row>
    <row r="4" spans="1:2" x14ac:dyDescent="0.2">
      <c r="A4">
        <v>4</v>
      </c>
      <c r="B4" t="s">
        <v>63</v>
      </c>
    </row>
    <row r="5" spans="1:2" x14ac:dyDescent="0.2">
      <c r="A5">
        <v>5</v>
      </c>
      <c r="B5" t="s">
        <v>64</v>
      </c>
    </row>
    <row r="6" spans="1:2" x14ac:dyDescent="0.2">
      <c r="A6">
        <v>6</v>
      </c>
      <c r="B6" t="s">
        <v>65</v>
      </c>
    </row>
    <row r="7" spans="1:2" x14ac:dyDescent="0.2">
      <c r="A7">
        <v>7</v>
      </c>
      <c r="B7" t="s">
        <v>66</v>
      </c>
    </row>
    <row r="8" spans="1:2" x14ac:dyDescent="0.2">
      <c r="A8">
        <v>8</v>
      </c>
      <c r="B8" t="s">
        <v>67</v>
      </c>
    </row>
    <row r="9" spans="1:2" x14ac:dyDescent="0.2">
      <c r="A9">
        <v>9</v>
      </c>
      <c r="B9" t="s">
        <v>68</v>
      </c>
    </row>
    <row r="10" spans="1:2" x14ac:dyDescent="0.2">
      <c r="A10">
        <v>10</v>
      </c>
      <c r="B10" t="s">
        <v>69</v>
      </c>
    </row>
    <row r="11" spans="1:2" x14ac:dyDescent="0.2">
      <c r="A11">
        <v>11</v>
      </c>
      <c r="B11" t="s">
        <v>179</v>
      </c>
    </row>
    <row r="12" spans="1:2" x14ac:dyDescent="0.2">
      <c r="A12">
        <v>12</v>
      </c>
      <c r="B12" t="s">
        <v>70</v>
      </c>
    </row>
    <row r="13" spans="1:2" x14ac:dyDescent="0.2">
      <c r="A13">
        <v>13</v>
      </c>
      <c r="B13" t="s">
        <v>71</v>
      </c>
    </row>
    <row r="14" spans="1:2" x14ac:dyDescent="0.2">
      <c r="A14">
        <v>14</v>
      </c>
      <c r="B14" t="s">
        <v>72</v>
      </c>
    </row>
    <row r="15" spans="1:2" x14ac:dyDescent="0.2">
      <c r="A15">
        <v>15</v>
      </c>
      <c r="B15" t="s">
        <v>73</v>
      </c>
    </row>
    <row r="16" spans="1:2" x14ac:dyDescent="0.2">
      <c r="A16">
        <v>16</v>
      </c>
      <c r="B16" t="s">
        <v>74</v>
      </c>
    </row>
    <row r="17" spans="1:2" x14ac:dyDescent="0.2">
      <c r="A17">
        <v>17</v>
      </c>
      <c r="B17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76</v>
      </c>
    </row>
    <row r="2" spans="1:2" x14ac:dyDescent="0.2">
      <c r="A2">
        <v>2</v>
      </c>
      <c r="B2" t="s">
        <v>77</v>
      </c>
    </row>
    <row r="3" spans="1:2" x14ac:dyDescent="0.2">
      <c r="A3">
        <v>3</v>
      </c>
      <c r="B3" t="s">
        <v>78</v>
      </c>
    </row>
    <row r="4" spans="1:2" x14ac:dyDescent="0.2">
      <c r="A4">
        <v>4</v>
      </c>
      <c r="B4" t="s">
        <v>79</v>
      </c>
    </row>
    <row r="5" spans="1:2" x14ac:dyDescent="0.2">
      <c r="A5">
        <v>5</v>
      </c>
      <c r="B5" t="s">
        <v>80</v>
      </c>
    </row>
    <row r="6" spans="1:2" x14ac:dyDescent="0.2">
      <c r="A6">
        <v>6</v>
      </c>
      <c r="B6" t="s">
        <v>81</v>
      </c>
    </row>
    <row r="7" spans="1:2" x14ac:dyDescent="0.2">
      <c r="A7">
        <v>7</v>
      </c>
      <c r="B7" t="s">
        <v>82</v>
      </c>
    </row>
    <row r="8" spans="1:2" x14ac:dyDescent="0.2">
      <c r="A8">
        <v>8</v>
      </c>
      <c r="B8" t="s">
        <v>83</v>
      </c>
    </row>
    <row r="9" spans="1:2" x14ac:dyDescent="0.2">
      <c r="A9">
        <v>9</v>
      </c>
      <c r="B9" t="s">
        <v>84</v>
      </c>
    </row>
    <row r="10" spans="1:2" x14ac:dyDescent="0.2">
      <c r="A10">
        <v>10</v>
      </c>
      <c r="B10" t="s">
        <v>85</v>
      </c>
    </row>
    <row r="11" spans="1:2" x14ac:dyDescent="0.2">
      <c r="A11">
        <v>11</v>
      </c>
      <c r="B11" t="s">
        <v>86</v>
      </c>
    </row>
    <row r="12" spans="1:2" x14ac:dyDescent="0.2">
      <c r="A12">
        <v>12</v>
      </c>
      <c r="B12" t="s">
        <v>87</v>
      </c>
    </row>
    <row r="13" spans="1:2" x14ac:dyDescent="0.2">
      <c r="A13">
        <v>13</v>
      </c>
      <c r="B13" t="s">
        <v>88</v>
      </c>
    </row>
    <row r="14" spans="1:2" x14ac:dyDescent="0.2">
      <c r="A14">
        <v>14</v>
      </c>
      <c r="B14" t="s">
        <v>89</v>
      </c>
    </row>
    <row r="15" spans="1:2" x14ac:dyDescent="0.2">
      <c r="A15">
        <v>15</v>
      </c>
      <c r="B15" t="s">
        <v>90</v>
      </c>
    </row>
    <row r="16" spans="1:2" x14ac:dyDescent="0.2">
      <c r="A16">
        <v>16</v>
      </c>
      <c r="B16" t="s">
        <v>91</v>
      </c>
    </row>
    <row r="17" spans="1:2" x14ac:dyDescent="0.2">
      <c r="A17">
        <v>17</v>
      </c>
      <c r="B17" t="s">
        <v>92</v>
      </c>
    </row>
    <row r="18" spans="1:2" x14ac:dyDescent="0.2">
      <c r="A18">
        <v>18</v>
      </c>
      <c r="B18" t="s">
        <v>93</v>
      </c>
    </row>
    <row r="19" spans="1:2" x14ac:dyDescent="0.2">
      <c r="A19">
        <v>19</v>
      </c>
      <c r="B19" t="s">
        <v>94</v>
      </c>
    </row>
    <row r="20" spans="1:2" x14ac:dyDescent="0.2">
      <c r="A20">
        <v>20</v>
      </c>
      <c r="B20" t="s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165</v>
      </c>
    </row>
    <row r="2" spans="1:2" x14ac:dyDescent="0.2">
      <c r="A2">
        <v>2</v>
      </c>
      <c r="B2" t="s">
        <v>166</v>
      </c>
    </row>
    <row r="3" spans="1:2" x14ac:dyDescent="0.2">
      <c r="A3">
        <v>3</v>
      </c>
      <c r="B3" t="s">
        <v>167</v>
      </c>
    </row>
    <row r="4" spans="1:2" x14ac:dyDescent="0.2">
      <c r="A4">
        <v>4</v>
      </c>
      <c r="B4" t="s">
        <v>168</v>
      </c>
    </row>
    <row r="5" spans="1:2" x14ac:dyDescent="0.2">
      <c r="A5">
        <v>5</v>
      </c>
      <c r="B5" t="s">
        <v>169</v>
      </c>
    </row>
    <row r="6" spans="1:2" x14ac:dyDescent="0.2">
      <c r="A6">
        <v>6</v>
      </c>
      <c r="B6" t="s">
        <v>170</v>
      </c>
    </row>
    <row r="7" spans="1:2" x14ac:dyDescent="0.2">
      <c r="A7">
        <v>7</v>
      </c>
      <c r="B7" t="s">
        <v>171</v>
      </c>
    </row>
    <row r="8" spans="1:2" x14ac:dyDescent="0.2">
      <c r="A8">
        <v>8</v>
      </c>
      <c r="B8" t="s">
        <v>172</v>
      </c>
    </row>
    <row r="9" spans="1:2" x14ac:dyDescent="0.2">
      <c r="A9">
        <v>9</v>
      </c>
      <c r="B9" t="s">
        <v>173</v>
      </c>
    </row>
    <row r="10" spans="1:2" x14ac:dyDescent="0.2">
      <c r="A10">
        <v>10</v>
      </c>
      <c r="B10" t="s">
        <v>174</v>
      </c>
    </row>
    <row r="11" spans="1:2" x14ac:dyDescent="0.2">
      <c r="A11">
        <v>11</v>
      </c>
      <c r="B11" t="s">
        <v>175</v>
      </c>
    </row>
    <row r="12" spans="1:2" x14ac:dyDescent="0.2">
      <c r="A12">
        <v>12</v>
      </c>
      <c r="B12" t="s">
        <v>176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  <row r="13" spans="1:2" x14ac:dyDescent="0.2">
      <c r="A13">
        <v>13</v>
      </c>
      <c r="B13" t="s">
        <v>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144</v>
      </c>
    </row>
    <row r="2" spans="1:2" x14ac:dyDescent="0.2">
      <c r="A2">
        <v>2</v>
      </c>
      <c r="B2" t="s">
        <v>145</v>
      </c>
    </row>
    <row r="3" spans="1:2" x14ac:dyDescent="0.2">
      <c r="A3">
        <v>3</v>
      </c>
      <c r="B3" t="s">
        <v>146</v>
      </c>
    </row>
    <row r="4" spans="1:2" x14ac:dyDescent="0.2">
      <c r="A4">
        <v>4</v>
      </c>
      <c r="B4" t="s">
        <v>147</v>
      </c>
    </row>
    <row r="5" spans="1:2" x14ac:dyDescent="0.2">
      <c r="A5">
        <v>5</v>
      </c>
      <c r="B5" t="s">
        <v>148</v>
      </c>
    </row>
    <row r="6" spans="1:2" x14ac:dyDescent="0.2">
      <c r="A6">
        <v>6</v>
      </c>
      <c r="B6" t="s">
        <v>149</v>
      </c>
    </row>
    <row r="7" spans="1:2" x14ac:dyDescent="0.2">
      <c r="A7">
        <v>7</v>
      </c>
      <c r="B7" t="s">
        <v>150</v>
      </c>
    </row>
    <row r="8" spans="1:2" x14ac:dyDescent="0.2">
      <c r="A8">
        <v>8</v>
      </c>
      <c r="B8" t="s">
        <v>151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132</v>
      </c>
    </row>
    <row r="2" spans="1:2" x14ac:dyDescent="0.2">
      <c r="A2">
        <v>2</v>
      </c>
      <c r="B2" t="s">
        <v>133</v>
      </c>
    </row>
    <row r="3" spans="1:2" x14ac:dyDescent="0.2">
      <c r="A3">
        <v>3</v>
      </c>
      <c r="B3" t="s">
        <v>134</v>
      </c>
    </row>
    <row r="4" spans="1:2" x14ac:dyDescent="0.2">
      <c r="A4">
        <v>4</v>
      </c>
      <c r="B4" t="s">
        <v>135</v>
      </c>
    </row>
    <row r="5" spans="1:2" x14ac:dyDescent="0.2">
      <c r="A5">
        <v>5</v>
      </c>
      <c r="B5" t="s">
        <v>136</v>
      </c>
    </row>
    <row r="6" spans="1:2" x14ac:dyDescent="0.2">
      <c r="A6">
        <v>6</v>
      </c>
      <c r="B6" t="s">
        <v>137</v>
      </c>
    </row>
    <row r="7" spans="1:2" x14ac:dyDescent="0.2">
      <c r="A7">
        <v>7</v>
      </c>
      <c r="B7" t="s">
        <v>138</v>
      </c>
    </row>
    <row r="8" spans="1:2" x14ac:dyDescent="0.2">
      <c r="A8">
        <v>8</v>
      </c>
      <c r="B8" t="s">
        <v>139</v>
      </c>
    </row>
    <row r="9" spans="1:2" x14ac:dyDescent="0.2">
      <c r="A9">
        <v>9</v>
      </c>
      <c r="B9" t="s">
        <v>140</v>
      </c>
    </row>
    <row r="10" spans="1:2" x14ac:dyDescent="0.2">
      <c r="A10">
        <v>10</v>
      </c>
      <c r="B10" t="s">
        <v>141</v>
      </c>
    </row>
    <row r="11" spans="1:2" x14ac:dyDescent="0.2">
      <c r="A11">
        <v>11</v>
      </c>
      <c r="B11" t="s">
        <v>142</v>
      </c>
    </row>
    <row r="12" spans="1:2" x14ac:dyDescent="0.2">
      <c r="A12">
        <v>12</v>
      </c>
      <c r="B12" t="s">
        <v>143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117</v>
      </c>
    </row>
    <row r="2" spans="1:2" x14ac:dyDescent="0.2">
      <c r="A2">
        <v>2</v>
      </c>
      <c r="B2" t="s">
        <v>118</v>
      </c>
    </row>
    <row r="3" spans="1:2" x14ac:dyDescent="0.2">
      <c r="A3">
        <v>3</v>
      </c>
      <c r="B3" t="s">
        <v>119</v>
      </c>
    </row>
    <row r="4" spans="1:2" x14ac:dyDescent="0.2">
      <c r="A4">
        <v>4</v>
      </c>
      <c r="B4" t="s">
        <v>120</v>
      </c>
    </row>
    <row r="5" spans="1:2" x14ac:dyDescent="0.2">
      <c r="A5">
        <v>5</v>
      </c>
      <c r="B5" t="s">
        <v>121</v>
      </c>
    </row>
    <row r="6" spans="1:2" x14ac:dyDescent="0.2">
      <c r="A6">
        <v>6</v>
      </c>
      <c r="B6" t="s">
        <v>122</v>
      </c>
    </row>
    <row r="7" spans="1:2" x14ac:dyDescent="0.2">
      <c r="A7">
        <v>7</v>
      </c>
      <c r="B7" t="s">
        <v>123</v>
      </c>
    </row>
    <row r="8" spans="1:2" x14ac:dyDescent="0.2">
      <c r="A8">
        <v>8</v>
      </c>
      <c r="B8" t="s">
        <v>124</v>
      </c>
    </row>
    <row r="9" spans="1:2" x14ac:dyDescent="0.2">
      <c r="A9">
        <v>9</v>
      </c>
      <c r="B9" t="s">
        <v>125</v>
      </c>
    </row>
    <row r="10" spans="1:2" x14ac:dyDescent="0.2">
      <c r="A10">
        <v>10</v>
      </c>
      <c r="B10" t="s">
        <v>126</v>
      </c>
    </row>
    <row r="11" spans="1:2" x14ac:dyDescent="0.2">
      <c r="A11">
        <v>11</v>
      </c>
      <c r="B11" t="s">
        <v>127</v>
      </c>
    </row>
    <row r="12" spans="1:2" x14ac:dyDescent="0.2">
      <c r="A12">
        <v>12</v>
      </c>
      <c r="B12" t="s">
        <v>128</v>
      </c>
    </row>
    <row r="13" spans="1:2" x14ac:dyDescent="0.2">
      <c r="A13">
        <v>13</v>
      </c>
      <c r="B13" t="s">
        <v>129</v>
      </c>
    </row>
    <row r="14" spans="1:2" x14ac:dyDescent="0.2">
      <c r="A14">
        <v>14</v>
      </c>
      <c r="B14" t="s">
        <v>130</v>
      </c>
    </row>
    <row r="15" spans="1:2" x14ac:dyDescent="0.2">
      <c r="A15">
        <v>15</v>
      </c>
      <c r="B15" t="s">
        <v>131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108</v>
      </c>
    </row>
    <row r="2" spans="1:2" x14ac:dyDescent="0.2">
      <c r="A2">
        <v>2</v>
      </c>
      <c r="B2" t="s">
        <v>109</v>
      </c>
    </row>
    <row r="3" spans="1:2" x14ac:dyDescent="0.2">
      <c r="A3">
        <v>3</v>
      </c>
      <c r="B3" t="s">
        <v>110</v>
      </c>
    </row>
    <row r="4" spans="1:2" x14ac:dyDescent="0.2">
      <c r="A4">
        <v>4</v>
      </c>
      <c r="B4" t="s">
        <v>111</v>
      </c>
    </row>
    <row r="5" spans="1:2" x14ac:dyDescent="0.2">
      <c r="A5">
        <v>5</v>
      </c>
      <c r="B5" t="s">
        <v>112</v>
      </c>
    </row>
    <row r="6" spans="1:2" x14ac:dyDescent="0.2">
      <c r="A6">
        <v>6</v>
      </c>
      <c r="B6" t="s">
        <v>113</v>
      </c>
    </row>
    <row r="7" spans="1:2" x14ac:dyDescent="0.2">
      <c r="A7">
        <v>7</v>
      </c>
      <c r="B7" t="s">
        <v>114</v>
      </c>
    </row>
    <row r="8" spans="1:2" x14ac:dyDescent="0.2">
      <c r="A8">
        <v>8</v>
      </c>
      <c r="B8" t="s">
        <v>115</v>
      </c>
    </row>
    <row r="9" spans="1:2" x14ac:dyDescent="0.2">
      <c r="A9">
        <v>9</v>
      </c>
      <c r="B9" t="s">
        <v>116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96</v>
      </c>
    </row>
    <row r="2" spans="1:2" x14ac:dyDescent="0.2">
      <c r="A2">
        <v>2</v>
      </c>
      <c r="B2" t="s">
        <v>97</v>
      </c>
    </row>
    <row r="3" spans="1:2" x14ac:dyDescent="0.2">
      <c r="A3">
        <v>3</v>
      </c>
      <c r="B3" t="s">
        <v>98</v>
      </c>
    </row>
    <row r="4" spans="1:2" x14ac:dyDescent="0.2">
      <c r="A4">
        <v>4</v>
      </c>
      <c r="B4" t="s">
        <v>99</v>
      </c>
    </row>
    <row r="5" spans="1:2" x14ac:dyDescent="0.2">
      <c r="A5">
        <v>5</v>
      </c>
      <c r="B5" t="s">
        <v>100</v>
      </c>
    </row>
    <row r="6" spans="1:2" x14ac:dyDescent="0.2">
      <c r="A6">
        <v>6</v>
      </c>
      <c r="B6" t="s">
        <v>101</v>
      </c>
    </row>
    <row r="7" spans="1:2" x14ac:dyDescent="0.2">
      <c r="A7">
        <v>7</v>
      </c>
      <c r="B7" t="s">
        <v>102</v>
      </c>
    </row>
    <row r="8" spans="1:2" x14ac:dyDescent="0.2">
      <c r="A8">
        <v>8</v>
      </c>
      <c r="B8" t="s">
        <v>103</v>
      </c>
    </row>
    <row r="9" spans="1:2" x14ac:dyDescent="0.2">
      <c r="A9">
        <v>9</v>
      </c>
      <c r="B9" t="s">
        <v>104</v>
      </c>
    </row>
    <row r="10" spans="1:2" x14ac:dyDescent="0.2">
      <c r="A10">
        <v>10</v>
      </c>
      <c r="B10" t="s">
        <v>105</v>
      </c>
    </row>
    <row r="11" spans="1:2" x14ac:dyDescent="0.2">
      <c r="A11">
        <v>11</v>
      </c>
      <c r="B11" t="s">
        <v>106</v>
      </c>
    </row>
    <row r="12" spans="1:2" x14ac:dyDescent="0.2">
      <c r="A12">
        <v>12</v>
      </c>
      <c r="B12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Players</vt:lpstr>
      <vt:lpstr>Race1</vt:lpstr>
      <vt:lpstr>Race2</vt:lpstr>
      <vt:lpstr>Race3</vt:lpstr>
      <vt:lpstr>Race4</vt:lpstr>
      <vt:lpstr>Race5</vt:lpstr>
      <vt:lpstr>Race6</vt:lpstr>
      <vt:lpstr>Race7</vt:lpstr>
      <vt:lpstr>Race 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2020-12-10T13:15:46Z</dcterms:modified>
</cp:coreProperties>
</file>