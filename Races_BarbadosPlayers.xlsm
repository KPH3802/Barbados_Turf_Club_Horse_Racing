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D2E02126-F43C-2540-9C0C-E0F93E3B9FA0}" xr6:coauthVersionLast="45" xr6:coauthVersionMax="45" xr10:uidLastSave="{00000000-0000-0000-0000-000000000000}"/>
  <bookViews>
    <workbookView xWindow="860" yWindow="500" windowWidth="28060" windowHeight="20500" xr2:uid="{E5E74DBF-4C2C-0A42-87D7-4BBE1582C403}"/>
  </bookViews>
  <sheets>
    <sheet name="Players Sheet" sheetId="1" r:id="rId1"/>
    <sheet name="Horse Sheet" sheetId="15" r:id="rId2"/>
    <sheet name="Tickets" sheetId="18" r:id="rId3"/>
    <sheet name="Race1" sheetId="2" state="hidden" r:id="rId4"/>
    <sheet name="Race2" sheetId="3" state="hidden" r:id="rId5"/>
    <sheet name="Race3" sheetId="10" state="hidden" r:id="rId6"/>
    <sheet name="Race4" sheetId="9" state="hidden" r:id="rId7"/>
    <sheet name="Race5" sheetId="8" state="hidden" r:id="rId8"/>
    <sheet name="Race6" sheetId="7" state="hidden" r:id="rId9"/>
    <sheet name="Race7" sheetId="6" state="hidden" r:id="rId10"/>
    <sheet name="Race8" sheetId="5" state="hidden" r:id="rId11"/>
    <sheet name="Race9" sheetId="4" state="hidden" r:id="rId1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5" i="1" l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44" i="1"/>
  <c r="AC48" i="1" l="1"/>
  <c r="AC56" i="1"/>
  <c r="AC64" i="1"/>
  <c r="AC71" i="1"/>
  <c r="AB51" i="1"/>
  <c r="AB59" i="1"/>
  <c r="AB60" i="1"/>
  <c r="AB67" i="1"/>
  <c r="AB68" i="1"/>
  <c r="M52" i="1"/>
  <c r="AA53" i="1"/>
  <c r="AA55" i="1"/>
  <c r="AA58" i="1"/>
  <c r="AA59" i="1"/>
  <c r="AA60" i="1"/>
  <c r="AA67" i="1"/>
  <c r="M68" i="1"/>
  <c r="AA56" i="1"/>
  <c r="AA71" i="1"/>
  <c r="Z71" i="1"/>
  <c r="Z58" i="1"/>
  <c r="Z59" i="1"/>
  <c r="Z44" i="1"/>
  <c r="Z48" i="1"/>
  <c r="Z52" i="1"/>
  <c r="L54" i="1"/>
  <c r="Z60" i="1"/>
  <c r="Z61" i="1"/>
  <c r="Z63" i="1"/>
  <c r="N64" i="1"/>
  <c r="Z70" i="1"/>
  <c r="Z67" i="1"/>
  <c r="Y44" i="1"/>
  <c r="Y59" i="1"/>
  <c r="Y56" i="1"/>
  <c r="Y64" i="1"/>
  <c r="D47" i="1"/>
  <c r="W47" i="1" s="1"/>
  <c r="D48" i="1"/>
  <c r="W48" i="1"/>
  <c r="D55" i="1"/>
  <c r="W55" i="1" s="1"/>
  <c r="D56" i="1"/>
  <c r="W56" i="1"/>
  <c r="D63" i="1"/>
  <c r="D44" i="1"/>
  <c r="D45" i="1"/>
  <c r="D77" i="1" s="1"/>
  <c r="D46" i="1"/>
  <c r="D79" i="1" s="1"/>
  <c r="D49" i="1"/>
  <c r="D50" i="1"/>
  <c r="D51" i="1"/>
  <c r="D52" i="1"/>
  <c r="D53" i="1"/>
  <c r="D54" i="1"/>
  <c r="D57" i="1"/>
  <c r="D58" i="1"/>
  <c r="D59" i="1"/>
  <c r="M59" i="1" s="1"/>
  <c r="D60" i="1"/>
  <c r="D61" i="1"/>
  <c r="D62" i="1"/>
  <c r="D64" i="1"/>
  <c r="W64" i="1" s="1"/>
  <c r="D65" i="1"/>
  <c r="D66" i="1"/>
  <c r="D67" i="1"/>
  <c r="D68" i="1"/>
  <c r="D69" i="1"/>
  <c r="D70" i="1"/>
  <c r="D71" i="1"/>
  <c r="W71" i="1"/>
  <c r="C51" i="1"/>
  <c r="C44" i="1"/>
  <c r="C77" i="1" s="1"/>
  <c r="C45" i="1"/>
  <c r="V45" i="1" s="1"/>
  <c r="C46" i="1"/>
  <c r="V46" i="1" s="1"/>
  <c r="C47" i="1"/>
  <c r="C48" i="1"/>
  <c r="C49" i="1"/>
  <c r="C50" i="1"/>
  <c r="C52" i="1"/>
  <c r="C53" i="1"/>
  <c r="C54" i="1"/>
  <c r="V54" i="1" s="1"/>
  <c r="C55" i="1"/>
  <c r="V55" i="1" s="1"/>
  <c r="C56" i="1"/>
  <c r="C57" i="1"/>
  <c r="C58" i="1"/>
  <c r="C59" i="1"/>
  <c r="V59" i="1" s="1"/>
  <c r="C60" i="1"/>
  <c r="V60" i="1" s="1"/>
  <c r="C61" i="1"/>
  <c r="C62" i="1"/>
  <c r="V62" i="1" s="1"/>
  <c r="C63" i="1"/>
  <c r="C64" i="1"/>
  <c r="C65" i="1"/>
  <c r="C66" i="1"/>
  <c r="C67" i="1"/>
  <c r="C68" i="1"/>
  <c r="C69" i="1"/>
  <c r="V69" i="1" s="1"/>
  <c r="C70" i="1"/>
  <c r="V70" i="1" s="1"/>
  <c r="C71" i="1"/>
  <c r="V71" i="1" s="1"/>
  <c r="V52" i="1"/>
  <c r="V68" i="1"/>
  <c r="AC45" i="1"/>
  <c r="AC46" i="1"/>
  <c r="AC47" i="1"/>
  <c r="AC49" i="1"/>
  <c r="J77" i="1"/>
  <c r="AC52" i="1"/>
  <c r="AC60" i="1"/>
  <c r="AC68" i="1"/>
  <c r="AC70" i="1"/>
  <c r="AC53" i="1"/>
  <c r="AC54" i="1"/>
  <c r="AC55" i="1"/>
  <c r="AC58" i="1"/>
  <c r="AC59" i="1"/>
  <c r="AC63" i="1"/>
  <c r="AC65" i="1"/>
  <c r="AC66" i="1"/>
  <c r="AB46" i="1"/>
  <c r="AB47" i="1"/>
  <c r="AB48" i="1"/>
  <c r="AB49" i="1"/>
  <c r="AB50" i="1"/>
  <c r="AB53" i="1"/>
  <c r="AB55" i="1"/>
  <c r="L56" i="1"/>
  <c r="AB56" i="1"/>
  <c r="AB57" i="1"/>
  <c r="AB58" i="1"/>
  <c r="AB61" i="1"/>
  <c r="AB62" i="1"/>
  <c r="AB63" i="1"/>
  <c r="AB64" i="1"/>
  <c r="AB65" i="1"/>
  <c r="AB69" i="1"/>
  <c r="AB70" i="1"/>
  <c r="AA49" i="1"/>
  <c r="AA65" i="1"/>
  <c r="Z45" i="1"/>
  <c r="Z46" i="1"/>
  <c r="Z47" i="1"/>
  <c r="Z53" i="1"/>
  <c r="Z55" i="1"/>
  <c r="Z56" i="1"/>
  <c r="Z57" i="1"/>
  <c r="Z65" i="1"/>
  <c r="Z68" i="1"/>
  <c r="Z69" i="1"/>
  <c r="Y45" i="1"/>
  <c r="Y46" i="1"/>
  <c r="Y50" i="1"/>
  <c r="Y52" i="1"/>
  <c r="Y53" i="1"/>
  <c r="Y54" i="1"/>
  <c r="Y62" i="1"/>
  <c r="Y65" i="1"/>
  <c r="Y66" i="1"/>
  <c r="Y70" i="1"/>
  <c r="Y71" i="1"/>
  <c r="E45" i="1"/>
  <c r="E78" i="1" s="1"/>
  <c r="X45" i="1"/>
  <c r="E46" i="1"/>
  <c r="X46" i="1"/>
  <c r="E47" i="1"/>
  <c r="E44" i="1"/>
  <c r="E77" i="1" s="1"/>
  <c r="E48" i="1"/>
  <c r="E49" i="1"/>
  <c r="X49" i="1" s="1"/>
  <c r="E50" i="1"/>
  <c r="X50" i="1" s="1"/>
  <c r="E51" i="1"/>
  <c r="E79" i="1" s="1"/>
  <c r="E52" i="1"/>
  <c r="E53" i="1"/>
  <c r="E54" i="1"/>
  <c r="E55" i="1"/>
  <c r="E56" i="1"/>
  <c r="E57" i="1"/>
  <c r="E58" i="1"/>
  <c r="X58" i="1" s="1"/>
  <c r="E59" i="1"/>
  <c r="X59" i="1" s="1"/>
  <c r="E60" i="1"/>
  <c r="E61" i="1"/>
  <c r="E62" i="1"/>
  <c r="E63" i="1"/>
  <c r="E64" i="1"/>
  <c r="E65" i="1"/>
  <c r="E66" i="1"/>
  <c r="E67" i="1"/>
  <c r="X67" i="1" s="1"/>
  <c r="E68" i="1"/>
  <c r="E69" i="1"/>
  <c r="E70" i="1"/>
  <c r="E71" i="1"/>
  <c r="X48" i="1"/>
  <c r="X53" i="1"/>
  <c r="X54" i="1"/>
  <c r="X55" i="1"/>
  <c r="X56" i="1"/>
  <c r="X57" i="1"/>
  <c r="X60" i="1"/>
  <c r="X61" i="1"/>
  <c r="X62" i="1"/>
  <c r="X65" i="1"/>
  <c r="X68" i="1"/>
  <c r="X69" i="1"/>
  <c r="X70" i="1"/>
  <c r="X71" i="1"/>
  <c r="W46" i="1"/>
  <c r="W51" i="1"/>
  <c r="W53" i="1"/>
  <c r="W54" i="1"/>
  <c r="W57" i="1"/>
  <c r="W58" i="1"/>
  <c r="W59" i="1"/>
  <c r="W60" i="1"/>
  <c r="W61" i="1"/>
  <c r="W62" i="1"/>
  <c r="W65" i="1"/>
  <c r="W69" i="1"/>
  <c r="W70" i="1"/>
  <c r="V47" i="1"/>
  <c r="V48" i="1"/>
  <c r="V49" i="1"/>
  <c r="V50" i="1"/>
  <c r="V53" i="1"/>
  <c r="V57" i="1"/>
  <c r="V58" i="1"/>
  <c r="V61" i="1"/>
  <c r="V63" i="1"/>
  <c r="V65" i="1"/>
  <c r="V66" i="1"/>
  <c r="B45" i="1"/>
  <c r="B46" i="1"/>
  <c r="U46" i="1" s="1"/>
  <c r="B47" i="1"/>
  <c r="U47" i="1" s="1"/>
  <c r="B48" i="1"/>
  <c r="B49" i="1"/>
  <c r="B50" i="1"/>
  <c r="U50" i="1" s="1"/>
  <c r="M50" i="1"/>
  <c r="B51" i="1"/>
  <c r="U51" i="1" s="1"/>
  <c r="B52" i="1"/>
  <c r="B53" i="1"/>
  <c r="U53" i="1"/>
  <c r="B54" i="1"/>
  <c r="U54" i="1"/>
  <c r="B55" i="1"/>
  <c r="U55" i="1" s="1"/>
  <c r="B44" i="1"/>
  <c r="B77" i="1" s="1"/>
  <c r="B56" i="1"/>
  <c r="N56" i="1" s="1"/>
  <c r="B57" i="1"/>
  <c r="B58" i="1"/>
  <c r="B59" i="1"/>
  <c r="B60" i="1"/>
  <c r="B61" i="1"/>
  <c r="U61" i="1" s="1"/>
  <c r="B62" i="1"/>
  <c r="U62" i="1" s="1"/>
  <c r="B63" i="1"/>
  <c r="B64" i="1"/>
  <c r="B65" i="1"/>
  <c r="B66" i="1"/>
  <c r="B67" i="1"/>
  <c r="U67" i="1" s="1"/>
  <c r="B68" i="1"/>
  <c r="B69" i="1"/>
  <c r="U69" i="1" s="1"/>
  <c r="B70" i="1"/>
  <c r="U70" i="1" s="1"/>
  <c r="B71" i="1"/>
  <c r="L71" i="1" s="1"/>
  <c r="A71" i="1"/>
  <c r="U60" i="1"/>
  <c r="U59" i="1"/>
  <c r="U52" i="1"/>
  <c r="U49" i="1"/>
  <c r="U66" i="1"/>
  <c r="U57" i="1"/>
  <c r="U65" i="1"/>
  <c r="V44" i="1"/>
  <c r="N50" i="1"/>
  <c r="C83" i="1"/>
  <c r="D83" i="1"/>
  <c r="E83" i="1"/>
  <c r="F83" i="1"/>
  <c r="G83" i="1"/>
  <c r="H83" i="1"/>
  <c r="I83" i="1"/>
  <c r="J83" i="1"/>
  <c r="B83" i="1"/>
  <c r="A68" i="1"/>
  <c r="A69" i="1"/>
  <c r="A70" i="1"/>
  <c r="A66" i="1"/>
  <c r="A67" i="1"/>
  <c r="A62" i="1"/>
  <c r="A63" i="1"/>
  <c r="A64" i="1"/>
  <c r="A65" i="1"/>
  <c r="A52" i="1"/>
  <c r="A48" i="1"/>
  <c r="A58" i="1"/>
  <c r="A45" i="1"/>
  <c r="A46" i="1"/>
  <c r="A47" i="1"/>
  <c r="A49" i="1"/>
  <c r="A50" i="1"/>
  <c r="A51" i="1"/>
  <c r="A53" i="1"/>
  <c r="A54" i="1"/>
  <c r="A55" i="1"/>
  <c r="A56" i="1"/>
  <c r="A57" i="1"/>
  <c r="A59" i="1"/>
  <c r="A60" i="1"/>
  <c r="A61" i="1"/>
  <c r="A44" i="1"/>
  <c r="D35" i="1"/>
  <c r="D36" i="1"/>
  <c r="D34" i="1"/>
  <c r="T35" i="1"/>
  <c r="T36" i="1"/>
  <c r="T34" i="1"/>
  <c r="R35" i="1"/>
  <c r="R36" i="1"/>
  <c r="R34" i="1"/>
  <c r="P35" i="1"/>
  <c r="P36" i="1"/>
  <c r="P34" i="1"/>
  <c r="N35" i="1"/>
  <c r="N36" i="1"/>
  <c r="N34" i="1"/>
  <c r="L35" i="1"/>
  <c r="L36" i="1"/>
  <c r="L34" i="1"/>
  <c r="J34" i="1"/>
  <c r="J35" i="1"/>
  <c r="J36" i="1"/>
  <c r="H35" i="1"/>
  <c r="H36" i="1"/>
  <c r="H34" i="1"/>
  <c r="F35" i="1"/>
  <c r="F36" i="1"/>
  <c r="F34" i="1"/>
  <c r="AB44" i="1"/>
  <c r="X44" i="1"/>
  <c r="W44" i="1"/>
  <c r="AC44" i="1"/>
  <c r="U68" i="1"/>
  <c r="U58" i="1"/>
  <c r="N52" i="1" l="1"/>
  <c r="H77" i="1"/>
  <c r="N68" i="1"/>
  <c r="L52" i="1"/>
  <c r="N60" i="1"/>
  <c r="N58" i="1"/>
  <c r="M58" i="1"/>
  <c r="L49" i="1"/>
  <c r="N49" i="1"/>
  <c r="M70" i="1"/>
  <c r="L58" i="1"/>
  <c r="L69" i="1"/>
  <c r="L57" i="1"/>
  <c r="N57" i="1"/>
  <c r="N48" i="1"/>
  <c r="I78" i="1"/>
  <c r="L66" i="1"/>
  <c r="M66" i="1"/>
  <c r="L65" i="1"/>
  <c r="N65" i="1"/>
  <c r="M62" i="1"/>
  <c r="D80" i="1"/>
  <c r="D82" i="1" s="1"/>
  <c r="E80" i="1"/>
  <c r="E82" i="1" s="1"/>
  <c r="X66" i="1"/>
  <c r="X51" i="1"/>
  <c r="L59" i="1"/>
  <c r="M71" i="1"/>
  <c r="L68" i="1"/>
  <c r="M65" i="1"/>
  <c r="W66" i="1"/>
  <c r="Y60" i="1"/>
  <c r="O60" i="1" s="1"/>
  <c r="I79" i="1"/>
  <c r="D78" i="1"/>
  <c r="F79" i="1"/>
  <c r="L48" i="1"/>
  <c r="AA52" i="1"/>
  <c r="N62" i="1"/>
  <c r="N71" i="1"/>
  <c r="M48" i="1"/>
  <c r="Y69" i="1"/>
  <c r="F78" i="1"/>
  <c r="W68" i="1"/>
  <c r="N61" i="1"/>
  <c r="B79" i="1"/>
  <c r="J79" i="1"/>
  <c r="C79" i="1"/>
  <c r="F77" i="1"/>
  <c r="L63" i="1"/>
  <c r="M46" i="1"/>
  <c r="L60" i="1"/>
  <c r="M49" i="1"/>
  <c r="B78" i="1"/>
  <c r="B80" i="1" s="1"/>
  <c r="B82" i="1" s="1"/>
  <c r="L50" i="1"/>
  <c r="J78" i="1"/>
  <c r="J80" i="1" s="1"/>
  <c r="J82" i="1" s="1"/>
  <c r="C78" i="1"/>
  <c r="C80" i="1" s="1"/>
  <c r="C82" i="1" s="1"/>
  <c r="L70" i="1"/>
  <c r="L62" i="1"/>
  <c r="N54" i="1"/>
  <c r="L45" i="1"/>
  <c r="O59" i="1"/>
  <c r="N59" i="1"/>
  <c r="N66" i="1"/>
  <c r="M69" i="1"/>
  <c r="L61" i="1"/>
  <c r="H78" i="1"/>
  <c r="AA48" i="1" s="1"/>
  <c r="O65" i="1"/>
  <c r="O53" i="1"/>
  <c r="N70" i="1"/>
  <c r="AA61" i="1"/>
  <c r="N53" i="1"/>
  <c r="L67" i="1"/>
  <c r="N63" i="1"/>
  <c r="M53" i="1"/>
  <c r="N69" i="1"/>
  <c r="AA70" i="1"/>
  <c r="AA46" i="1"/>
  <c r="O46" i="1" s="1"/>
  <c r="O70" i="1"/>
  <c r="N45" i="1"/>
  <c r="N55" i="1"/>
  <c r="M47" i="1"/>
  <c r="M60" i="1"/>
  <c r="AA69" i="1"/>
  <c r="AA45" i="1"/>
  <c r="I77" i="1"/>
  <c r="L46" i="1"/>
  <c r="M45" i="1"/>
  <c r="AA44" i="1"/>
  <c r="L47" i="1"/>
  <c r="M63" i="1"/>
  <c r="L51" i="1"/>
  <c r="M67" i="1"/>
  <c r="M57" i="1"/>
  <c r="AA63" i="1"/>
  <c r="N47" i="1"/>
  <c r="N67" i="1"/>
  <c r="L53" i="1"/>
  <c r="N46" i="1"/>
  <c r="L55" i="1"/>
  <c r="N51" i="1"/>
  <c r="M56" i="1"/>
  <c r="M51" i="1"/>
  <c r="AA54" i="1"/>
  <c r="H79" i="1"/>
  <c r="M61" i="1"/>
  <c r="M55" i="1"/>
  <c r="G78" i="1"/>
  <c r="G77" i="1"/>
  <c r="N44" i="1"/>
  <c r="Z64" i="1"/>
  <c r="Z54" i="1"/>
  <c r="L44" i="1"/>
  <c r="M54" i="1"/>
  <c r="L64" i="1"/>
  <c r="M44" i="1"/>
  <c r="M64" i="1"/>
  <c r="G79" i="1"/>
  <c r="I80" i="1" l="1"/>
  <c r="I82" i="1" s="1"/>
  <c r="I73" i="1" s="1"/>
  <c r="AB71" i="1" s="1"/>
  <c r="B74" i="1"/>
  <c r="B73" i="1"/>
  <c r="B75" i="1"/>
  <c r="C73" i="1"/>
  <c r="C74" i="1"/>
  <c r="C75" i="1"/>
  <c r="E73" i="1"/>
  <c r="X52" i="1" s="1"/>
  <c r="E74" i="1"/>
  <c r="E75" i="1"/>
  <c r="D75" i="1"/>
  <c r="D73" i="1"/>
  <c r="D74" i="1"/>
  <c r="F80" i="1"/>
  <c r="F82" i="1" s="1"/>
  <c r="H80" i="1"/>
  <c r="J73" i="1"/>
  <c r="J75" i="1"/>
  <c r="AC51" i="1" s="1"/>
  <c r="J74" i="1"/>
  <c r="G80" i="1"/>
  <c r="G82" i="1" s="1"/>
  <c r="H82" i="1" l="1"/>
  <c r="H73" i="1" s="1"/>
  <c r="AA50" i="1"/>
  <c r="I74" i="1"/>
  <c r="I75" i="1"/>
  <c r="AB54" i="1"/>
  <c r="O54" i="1" s="1"/>
  <c r="AB52" i="1"/>
  <c r="W50" i="1"/>
  <c r="W52" i="1"/>
  <c r="W45" i="1"/>
  <c r="W67" i="1"/>
  <c r="V64" i="1"/>
  <c r="V56" i="1"/>
  <c r="W49" i="1"/>
  <c r="W63" i="1"/>
  <c r="H74" i="1"/>
  <c r="V51" i="1"/>
  <c r="V67" i="1"/>
  <c r="AC50" i="1"/>
  <c r="AC57" i="1"/>
  <c r="AC69" i="1"/>
  <c r="O69" i="1" s="1"/>
  <c r="U56" i="1"/>
  <c r="O56" i="1" s="1"/>
  <c r="U44" i="1"/>
  <c r="O44" i="1" s="1"/>
  <c r="U64" i="1"/>
  <c r="U45" i="1"/>
  <c r="U63" i="1"/>
  <c r="H75" i="1"/>
  <c r="X47" i="1"/>
  <c r="X63" i="1"/>
  <c r="X64" i="1"/>
  <c r="F74" i="1"/>
  <c r="F75" i="1"/>
  <c r="F73" i="1"/>
  <c r="Y63" i="1" s="1"/>
  <c r="AC62" i="1"/>
  <c r="AC67" i="1"/>
  <c r="AC61" i="1"/>
  <c r="U48" i="1"/>
  <c r="U71" i="1"/>
  <c r="O71" i="1" s="1"/>
  <c r="AA57" i="1"/>
  <c r="AA62" i="1"/>
  <c r="AA68" i="1"/>
  <c r="AA64" i="1"/>
  <c r="AA51" i="1"/>
  <c r="G74" i="1"/>
  <c r="G73" i="1"/>
  <c r="G75" i="1"/>
  <c r="O52" i="1" l="1"/>
  <c r="Z50" i="1"/>
  <c r="Z51" i="1"/>
  <c r="Z62" i="1"/>
  <c r="AA47" i="1"/>
  <c r="AA66" i="1"/>
  <c r="AB45" i="1"/>
  <c r="O45" i="1" s="1"/>
  <c r="AB66" i="1"/>
  <c r="Y57" i="1"/>
  <c r="O57" i="1" s="1"/>
  <c r="Y47" i="1"/>
  <c r="Y58" i="1"/>
  <c r="O58" i="1" s="1"/>
  <c r="Y55" i="1"/>
  <c r="O55" i="1" s="1"/>
  <c r="Y61" i="1"/>
  <c r="O61" i="1" s="1"/>
  <c r="O48" i="1"/>
  <c r="O64" i="1"/>
  <c r="O63" i="1"/>
  <c r="O67" i="1"/>
  <c r="Y51" i="1"/>
  <c r="Y49" i="1"/>
  <c r="Y68" i="1"/>
  <c r="O68" i="1" s="1"/>
  <c r="Y48" i="1"/>
  <c r="Y67" i="1"/>
  <c r="O50" i="1"/>
  <c r="O62" i="1"/>
  <c r="Z66" i="1"/>
  <c r="Z49" i="1"/>
  <c r="O66" i="1" l="1"/>
  <c r="O47" i="1"/>
  <c r="O51" i="1"/>
  <c r="O49" i="1"/>
</calcChain>
</file>

<file path=xl/sharedStrings.xml><?xml version="1.0" encoding="utf-8"?>
<sst xmlns="http://schemas.openxmlformats.org/spreadsheetml/2006/main" count="916" uniqueCount="210">
  <si>
    <t>Natalie</t>
  </si>
  <si>
    <t>Mike</t>
  </si>
  <si>
    <t>Kyla</t>
  </si>
  <si>
    <t>James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</si>
  <si>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</si>
  <si>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</si>
  <si>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</si>
  <si>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</si>
  <si>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</si>
  <si>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</si>
  <si>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</si>
  <si>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</si>
  <si>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</si>
  <si>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</si>
  <si>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</si>
  <si>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</si>
  <si>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</si>
  <si>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</si>
  <si>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</si>
  <si>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</si>
  <si>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</si>
  <si>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</si>
  <si>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</si>
  <si>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</si>
  <si>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</si>
  <si>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</si>
  <si>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</si>
  <si>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</si>
  <si>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</si>
  <si>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</si>
  <si>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</si>
  <si>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</si>
  <si>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</si>
  <si>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</si>
  <si>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</si>
  <si>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</si>
  <si>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</si>
  <si>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</si>
  <si>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</si>
  <si>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</si>
  <si>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</si>
  <si>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</si>
  <si>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</si>
  <si>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</si>
  <si>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</si>
  <si>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</si>
  <si>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</si>
  <si>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</si>
  <si>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</si>
  <si>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</si>
  <si>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</si>
  <si>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</si>
  <si>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</si>
  <si>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</si>
  <si>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</si>
  <si>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</si>
  <si>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</si>
  <si>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</si>
  <si>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</si>
  <si>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</si>
  <si>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</si>
  <si>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</si>
  <si>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</si>
  <si>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</si>
  <si>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</si>
  <si>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</si>
  <si>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</si>
  <si>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</si>
  <si>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</si>
  <si>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</si>
  <si>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</si>
  <si>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</si>
  <si>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</si>
  <si>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</si>
  <si>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</si>
  <si>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</si>
  <si>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</si>
  <si>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</si>
  <si>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</si>
  <si>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</si>
  <si>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</si>
  <si>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</si>
  <si>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</si>
  <si>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</si>
  <si>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</si>
  <si>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</si>
  <si>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</si>
  <si>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</si>
  <si>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</si>
  <si>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</si>
  <si>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</si>
  <si>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</si>
  <si>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</si>
  <si>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</si>
  <si>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</si>
  <si>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</si>
  <si>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</si>
  <si>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</si>
  <si>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</si>
  <si>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</si>
  <si>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</si>
  <si>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</si>
  <si>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</si>
  <si>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</si>
  <si>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</si>
  <si>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</si>
  <si>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</si>
  <si>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</si>
  <si>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</si>
  <si>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</si>
  <si>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</si>
  <si>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</si>
  <si>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</si>
  <si>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</si>
  <si>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</si>
  <si>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</si>
  <si>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</si>
  <si>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</si>
  <si>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</si>
  <si>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</si>
  <si>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</si>
  <si>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</si>
  <si>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</si>
  <si>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</si>
  <si>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</si>
  <si>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</si>
  <si>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</si>
  <si>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</si>
  <si>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</si>
  <si>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</si>
  <si>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</si>
  <si>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</si>
  <si>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</si>
  <si>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</si>
  <si>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</si>
  <si>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</si>
  <si>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</si>
  <si>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</si>
  <si>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</si>
  <si>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</si>
  <si>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</si>
  <si>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</si>
  <si>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</si>
  <si>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</si>
  <si>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</si>
  <si>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</si>
  <si>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</si>
  <si>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</si>
  <si>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</si>
  <si>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</si>
  <si>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</si>
  <si>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</si>
  <si>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</si>
  <si>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</si>
  <si>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</si>
  <si>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</si>
  <si>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</si>
  <si>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</si>
  <si>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</si>
  <si>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</si>
  <si>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</si>
  <si>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</si>
  <si>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</si>
  <si>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</si>
  <si>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</si>
  <si>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</si>
  <si>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</si>
  <si>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</si>
  <si>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</si>
  <si>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</si>
  <si>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Total:</t>
  </si>
  <si>
    <t>Ivy</t>
  </si>
  <si>
    <t>(704) 607-2664</t>
  </si>
  <si>
    <t>Huawei</t>
  </si>
  <si>
    <t>(302) 559-5948</t>
  </si>
  <si>
    <t>Alyssa</t>
  </si>
  <si>
    <t>via -&gt; Ivy</t>
  </si>
  <si>
    <t>K. Hill</t>
  </si>
  <si>
    <t>Matt</t>
  </si>
  <si>
    <t>Cassie</t>
  </si>
  <si>
    <t>Anu</t>
  </si>
  <si>
    <t>Nick</t>
  </si>
  <si>
    <t>Kristen</t>
  </si>
  <si>
    <t>WIN:</t>
  </si>
  <si>
    <t>PLACE:</t>
  </si>
  <si>
    <t>SHOW:</t>
  </si>
  <si>
    <r>
      <t xml:space="preserve">via -&gt; </t>
    </r>
    <r>
      <rPr>
        <b/>
        <sz val="12"/>
        <color theme="1"/>
        <rFont val="Calibri"/>
        <family val="2"/>
        <scheme val="minor"/>
      </rPr>
      <t>Ivy</t>
    </r>
  </si>
  <si>
    <t>via -&gt; Kyla</t>
  </si>
  <si>
    <t>via -&gt; Adam</t>
  </si>
  <si>
    <t>via -&gt; Shannon</t>
  </si>
  <si>
    <t xml:space="preserve">Pot: </t>
  </si>
  <si>
    <t>Number of WIN:</t>
  </si>
  <si>
    <t>Number of PLACE:</t>
  </si>
  <si>
    <t>Number of SHOW:</t>
  </si>
  <si>
    <t>WIN Payout Per Person:</t>
  </si>
  <si>
    <t>PLACE Payout Per Person:</t>
  </si>
  <si>
    <t>SHOW Payout Per Person:</t>
  </si>
  <si>
    <t>Payout:</t>
  </si>
  <si>
    <t>Not Received</t>
  </si>
  <si>
    <r>
      <t xml:space="preserve">via-&gt; </t>
    </r>
    <r>
      <rPr>
        <b/>
        <sz val="12"/>
        <color theme="1"/>
        <rFont val="Calibri"/>
        <family val="2"/>
        <scheme val="minor"/>
      </rPr>
      <t>Andrea</t>
    </r>
  </si>
  <si>
    <t>Andrea's friend</t>
  </si>
  <si>
    <t>via-&gt; Andrea</t>
  </si>
  <si>
    <t>Number of PLACES:</t>
  </si>
  <si>
    <t>Number of SHOWS:</t>
  </si>
  <si>
    <t>Number of WINS:</t>
  </si>
  <si>
    <t>Totoal Payout:</t>
  </si>
  <si>
    <t>Received</t>
  </si>
  <si>
    <t>Sent</t>
  </si>
  <si>
    <t>Hauwei</t>
  </si>
  <si>
    <t>Has been paid!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</si>
</sst>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BBD]\ #,##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3" xfId="0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64" fontId="0" fillId="0" borderId="2" xfId="0" applyNumberFormat="1" applyFill="1" applyBorder="1" applyAlignment="1">
      <alignment horizontal="right"/>
    </xf>
    <xf numFmtId="0" fontId="0" fillId="0" borderId="2" xfId="0" applyBorder="1"/>
    <xf numFmtId="3" fontId="0" fillId="0" borderId="0" xfId="0" applyNumberFormat="1"/>
    <xf numFmtId="165" fontId="2" fillId="2" borderId="0" xfId="0" applyNumberFormat="1" applyFont="1" applyFill="1"/>
    <xf numFmtId="0" fontId="1" fillId="0" borderId="0" xfId="0" applyFont="1" applyAlignment="1" applyProtection="1">
      <alignment horizontal="center"/>
      <protection locked="0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AC84"/>
  <sheetViews>
    <sheetView tabSelected="1" zoomScale="80" zoomScaleNormal="80" workbookViewId="0">
      <pane xSplit="1" topLeftCell="B1" activePane="topRight" state="frozen"/>
      <selection activeCell="A3" sqref="A3"/>
      <selection pane="topRight" activeCell="F10" sqref="F10"/>
    </sheetView>
  </sheetViews>
  <sheetFormatPr baseColWidth="10" defaultColWidth="10.83203125" defaultRowHeight="16" x14ac:dyDescent="0.2"/>
  <cols>
    <col min="1" max="1" width="22.83203125" bestFit="1" customWidth="1"/>
    <col min="2" max="2" width="21.33203125" style="1" bestFit="1" customWidth="1"/>
    <col min="3" max="3" width="14.6640625" bestFit="1" customWidth="1"/>
    <col min="4" max="4" width="24.6640625" bestFit="1" customWidth="1"/>
    <col min="5" max="5" width="14.6640625" bestFit="1" customWidth="1"/>
    <col min="6" max="6" width="23" bestFit="1" customWidth="1"/>
    <col min="7" max="7" width="14.6640625" bestFit="1" customWidth="1"/>
    <col min="8" max="8" width="25.33203125" bestFit="1" customWidth="1"/>
    <col min="9" max="9" width="14.6640625" bestFit="1" customWidth="1"/>
    <col min="10" max="10" width="21.33203125" bestFit="1" customWidth="1"/>
    <col min="11" max="11" width="14.6640625" bestFit="1" customWidth="1"/>
    <col min="12" max="12" width="16.83203125" bestFit="1" customWidth="1"/>
    <col min="13" max="13" width="18.6640625" bestFit="1" customWidth="1"/>
    <col min="14" max="14" width="21.6640625" bestFit="1" customWidth="1"/>
    <col min="15" max="15" width="14.6640625" bestFit="1" customWidth="1"/>
    <col min="16" max="16" width="26.83203125" bestFit="1" customWidth="1"/>
    <col min="17" max="17" width="14.6640625" bestFit="1" customWidth="1"/>
    <col min="18" max="18" width="18.33203125" bestFit="1" customWidth="1"/>
    <col min="19" max="19" width="14.6640625" bestFit="1" customWidth="1"/>
    <col min="20" max="20" width="15.1640625" bestFit="1" customWidth="1"/>
  </cols>
  <sheetData>
    <row r="1" spans="1:24" x14ac:dyDescent="0.2">
      <c r="C1" s="28" t="s">
        <v>38</v>
      </c>
      <c r="D1" s="28"/>
      <c r="E1" s="28" t="s">
        <v>39</v>
      </c>
      <c r="F1" s="28"/>
      <c r="G1" s="28" t="s">
        <v>40</v>
      </c>
      <c r="H1" s="28"/>
      <c r="I1" s="28" t="s">
        <v>41</v>
      </c>
      <c r="J1" s="28"/>
      <c r="K1" s="28" t="s">
        <v>42</v>
      </c>
      <c r="L1" s="28"/>
      <c r="M1" s="28" t="s">
        <v>43</v>
      </c>
      <c r="N1" s="28"/>
      <c r="O1" s="28" t="s">
        <v>44</v>
      </c>
      <c r="P1" s="28"/>
      <c r="Q1" s="28" t="s">
        <v>45</v>
      </c>
      <c r="R1" s="28"/>
      <c r="S1" s="28" t="s">
        <v>46</v>
      </c>
      <c r="T1" s="28"/>
    </row>
    <row r="2" spans="1:24" x14ac:dyDescent="0.2"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1:24" s="6" customFormat="1" ht="15.75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5.75" thickTop="1" x14ac:dyDescent="0.2">
      <c r="A4" t="s">
        <v>5</v>
      </c>
      <c r="B4" s="2" t="s">
        <v>12</v>
      </c>
      <c r="C4" s="6">
        <v>11</v>
      </c>
      <c r="D4" s="6" t="s">
        <v>166</v>
      </c>
      <c r="E4" s="6">
        <v>2</v>
      </c>
      <c r="F4" s="6" t="s">
        <v>64</v>
      </c>
      <c r="G4" s="6">
        <v>5</v>
      </c>
      <c r="H4" s="6" t="s">
        <v>156</v>
      </c>
      <c r="I4" s="6">
        <v>1</v>
      </c>
      <c r="J4" s="6" t="s">
        <v>139</v>
      </c>
      <c r="K4" s="6">
        <v>4</v>
      </c>
      <c r="L4" s="6" t="s">
        <v>134</v>
      </c>
      <c r="M4" s="6">
        <v>12</v>
      </c>
      <c r="N4" s="6" t="s">
        <v>130</v>
      </c>
      <c r="O4" s="6">
        <v>14</v>
      </c>
      <c r="P4" s="6" t="s">
        <v>117</v>
      </c>
      <c r="Q4" s="6">
        <v>8</v>
      </c>
      <c r="R4" s="6" t="s">
        <v>102</v>
      </c>
      <c r="S4" s="6">
        <v>6</v>
      </c>
      <c r="T4" s="6" t="s">
        <v>88</v>
      </c>
    </row>
    <row r="5" spans="1:24" ht="15" x14ac:dyDescent="0.2">
      <c r="A5" t="s">
        <v>16</v>
      </c>
      <c r="B5" s="1">
        <v>5194985453</v>
      </c>
      <c r="C5" s="6">
        <v>1</v>
      </c>
      <c r="D5" s="6" t="s">
        <v>47</v>
      </c>
      <c r="E5" s="6">
        <v>8</v>
      </c>
      <c r="F5" s="6" t="s">
        <v>70</v>
      </c>
      <c r="G5" s="6">
        <v>12</v>
      </c>
      <c r="H5" s="6" t="s">
        <v>163</v>
      </c>
      <c r="I5" s="6">
        <v>5</v>
      </c>
      <c r="J5" s="6" t="s">
        <v>143</v>
      </c>
      <c r="K5" s="6">
        <v>5</v>
      </c>
      <c r="L5" s="6" t="s">
        <v>135</v>
      </c>
      <c r="M5" s="6">
        <v>12</v>
      </c>
      <c r="N5" s="6" t="s">
        <v>130</v>
      </c>
      <c r="O5" s="6">
        <v>12</v>
      </c>
      <c r="P5" s="6" t="s">
        <v>115</v>
      </c>
      <c r="Q5" s="6">
        <v>2</v>
      </c>
      <c r="R5" s="6" t="s">
        <v>96</v>
      </c>
      <c r="S5" s="6">
        <v>3</v>
      </c>
      <c r="T5" s="6" t="s">
        <v>85</v>
      </c>
    </row>
    <row r="6" spans="1:24" ht="15" x14ac:dyDescent="0.2">
      <c r="A6" t="s">
        <v>4</v>
      </c>
      <c r="B6" s="1">
        <v>6475753560</v>
      </c>
      <c r="C6" s="6">
        <v>9</v>
      </c>
      <c r="D6" s="6" t="s">
        <v>55</v>
      </c>
      <c r="E6" s="6">
        <v>19</v>
      </c>
      <c r="F6" s="6" t="s">
        <v>81</v>
      </c>
      <c r="G6" s="6">
        <v>5</v>
      </c>
      <c r="H6" s="6" t="s">
        <v>156</v>
      </c>
      <c r="I6" s="6">
        <v>11</v>
      </c>
      <c r="J6" s="6" t="s">
        <v>149</v>
      </c>
      <c r="K6" s="6">
        <v>8</v>
      </c>
      <c r="L6" s="6" t="s">
        <v>138</v>
      </c>
      <c r="M6" s="6">
        <v>10</v>
      </c>
      <c r="N6" s="6" t="s">
        <v>128</v>
      </c>
      <c r="O6" s="6">
        <v>15</v>
      </c>
      <c r="P6" s="6" t="s">
        <v>118</v>
      </c>
      <c r="Q6" s="6">
        <v>3</v>
      </c>
      <c r="R6" s="6" t="s">
        <v>97</v>
      </c>
      <c r="S6" s="6">
        <v>10</v>
      </c>
      <c r="T6" s="6" t="s">
        <v>92</v>
      </c>
    </row>
    <row r="7" spans="1:24" ht="15" x14ac:dyDescent="0.2">
      <c r="A7" t="s">
        <v>7</v>
      </c>
      <c r="B7" s="1">
        <v>4806352335</v>
      </c>
      <c r="C7" s="6">
        <v>13</v>
      </c>
      <c r="D7" s="6" t="s">
        <v>58</v>
      </c>
      <c r="E7" s="6">
        <v>7</v>
      </c>
      <c r="F7" s="6" t="s">
        <v>69</v>
      </c>
      <c r="G7" s="6">
        <v>3</v>
      </c>
      <c r="H7" s="6" t="s">
        <v>154</v>
      </c>
      <c r="I7" s="6">
        <v>12</v>
      </c>
      <c r="J7" s="6" t="s">
        <v>150</v>
      </c>
      <c r="K7" s="6">
        <v>3</v>
      </c>
      <c r="L7" s="6" t="s">
        <v>133</v>
      </c>
      <c r="M7" s="6">
        <v>6</v>
      </c>
      <c r="N7" s="6" t="s">
        <v>124</v>
      </c>
      <c r="O7" s="6">
        <v>9</v>
      </c>
      <c r="P7" s="6" t="s">
        <v>112</v>
      </c>
      <c r="Q7" s="6">
        <v>1</v>
      </c>
      <c r="R7" s="6" t="s">
        <v>95</v>
      </c>
      <c r="S7" s="6">
        <v>3</v>
      </c>
      <c r="T7" s="6" t="s">
        <v>85</v>
      </c>
    </row>
    <row r="8" spans="1:24" ht="15" x14ac:dyDescent="0.2">
      <c r="A8" t="s">
        <v>9</v>
      </c>
      <c r="B8" s="1">
        <v>5193623586</v>
      </c>
      <c r="C8" s="6">
        <v>15</v>
      </c>
      <c r="D8" s="6" t="s">
        <v>60</v>
      </c>
      <c r="E8" s="6">
        <v>5</v>
      </c>
      <c r="F8" s="6" t="s">
        <v>67</v>
      </c>
      <c r="G8" s="6">
        <v>4</v>
      </c>
      <c r="H8" s="6" t="s">
        <v>155</v>
      </c>
      <c r="I8" s="6">
        <v>4</v>
      </c>
      <c r="J8" s="6" t="s">
        <v>142</v>
      </c>
      <c r="K8" s="6">
        <v>2</v>
      </c>
      <c r="L8" s="6" t="s">
        <v>132</v>
      </c>
      <c r="M8" s="6">
        <v>4</v>
      </c>
      <c r="N8" s="6" t="s">
        <v>122</v>
      </c>
      <c r="O8" s="6">
        <v>2</v>
      </c>
      <c r="P8" s="6" t="s">
        <v>105</v>
      </c>
      <c r="Q8" s="6">
        <v>6</v>
      </c>
      <c r="R8" s="6" t="s">
        <v>100</v>
      </c>
      <c r="S8" s="6">
        <v>9</v>
      </c>
      <c r="T8" s="6" t="s">
        <v>91</v>
      </c>
    </row>
    <row r="9" spans="1:24" ht="15" x14ac:dyDescent="0.2">
      <c r="A9" t="s">
        <v>6</v>
      </c>
      <c r="B9" s="1">
        <v>5193623672</v>
      </c>
      <c r="C9" s="6">
        <v>16</v>
      </c>
      <c r="D9" s="6" t="s">
        <v>61</v>
      </c>
      <c r="E9" s="6">
        <v>2</v>
      </c>
      <c r="F9" s="6" t="s">
        <v>64</v>
      </c>
      <c r="G9" s="6">
        <v>8</v>
      </c>
      <c r="H9" s="6" t="s">
        <v>159</v>
      </c>
      <c r="I9" s="6">
        <v>1</v>
      </c>
      <c r="J9" s="6" t="s">
        <v>139</v>
      </c>
      <c r="K9" s="6">
        <v>2</v>
      </c>
      <c r="L9" s="6" t="s">
        <v>132</v>
      </c>
      <c r="M9" s="6">
        <v>5</v>
      </c>
      <c r="N9" s="6" t="s">
        <v>123</v>
      </c>
      <c r="O9" s="6">
        <v>13</v>
      </c>
      <c r="P9" s="6" t="s">
        <v>116</v>
      </c>
      <c r="Q9" s="6">
        <v>3</v>
      </c>
      <c r="R9" s="6" t="s">
        <v>97</v>
      </c>
      <c r="S9" s="6">
        <v>9</v>
      </c>
      <c r="T9" s="6" t="s">
        <v>91</v>
      </c>
    </row>
    <row r="10" spans="1:24" ht="15" x14ac:dyDescent="0.2">
      <c r="A10" t="s">
        <v>3</v>
      </c>
      <c r="B10" s="2" t="s">
        <v>13</v>
      </c>
      <c r="C10" s="6">
        <v>5</v>
      </c>
      <c r="D10" s="6" t="s">
        <v>51</v>
      </c>
      <c r="E10" s="6">
        <v>12</v>
      </c>
      <c r="F10" s="6" t="s">
        <v>74</v>
      </c>
      <c r="G10" s="6">
        <v>12</v>
      </c>
      <c r="H10" s="6" t="s">
        <v>163</v>
      </c>
      <c r="I10" s="6">
        <v>3</v>
      </c>
      <c r="J10" s="6" t="s">
        <v>141</v>
      </c>
      <c r="K10" s="6">
        <v>4</v>
      </c>
      <c r="L10" s="6" t="s">
        <v>134</v>
      </c>
      <c r="M10" s="6">
        <v>9</v>
      </c>
      <c r="N10" s="6" t="s">
        <v>127</v>
      </c>
      <c r="O10" s="6">
        <v>6</v>
      </c>
      <c r="P10" s="6" t="s">
        <v>109</v>
      </c>
      <c r="Q10" s="6">
        <v>8</v>
      </c>
      <c r="R10" s="6" t="s">
        <v>102</v>
      </c>
      <c r="S10" s="6">
        <v>7</v>
      </c>
      <c r="T10" s="6" t="s">
        <v>89</v>
      </c>
    </row>
    <row r="11" spans="1:24" ht="15" x14ac:dyDescent="0.2">
      <c r="A11" t="s">
        <v>8</v>
      </c>
      <c r="B11" s="1">
        <v>5198611517</v>
      </c>
      <c r="C11" s="6">
        <v>3</v>
      </c>
      <c r="D11" s="6" t="s">
        <v>49</v>
      </c>
      <c r="E11" s="6">
        <v>18</v>
      </c>
      <c r="F11" s="6" t="s">
        <v>80</v>
      </c>
      <c r="G11" s="6">
        <v>10</v>
      </c>
      <c r="H11" s="6" t="s">
        <v>161</v>
      </c>
      <c r="I11" s="6">
        <v>13</v>
      </c>
      <c r="J11" s="6" t="s">
        <v>151</v>
      </c>
      <c r="K11" s="6">
        <v>2</v>
      </c>
      <c r="L11" s="6" t="s">
        <v>132</v>
      </c>
      <c r="M11" s="6">
        <v>9</v>
      </c>
      <c r="N11" s="6" t="s">
        <v>127</v>
      </c>
      <c r="O11" s="6">
        <v>7</v>
      </c>
      <c r="P11" s="6" t="s">
        <v>110</v>
      </c>
      <c r="Q11" s="6">
        <v>8</v>
      </c>
      <c r="R11" s="6" t="s">
        <v>102</v>
      </c>
      <c r="S11" s="6">
        <v>8</v>
      </c>
      <c r="T11" s="6" t="s">
        <v>90</v>
      </c>
    </row>
    <row r="12" spans="1:24" ht="15" x14ac:dyDescent="0.2">
      <c r="A12" t="s">
        <v>2</v>
      </c>
      <c r="B12" s="1">
        <v>5199989213</v>
      </c>
      <c r="C12" s="6">
        <v>7</v>
      </c>
      <c r="D12" s="6" t="s">
        <v>53</v>
      </c>
      <c r="E12" s="6">
        <v>8</v>
      </c>
      <c r="F12" s="6" t="s">
        <v>70</v>
      </c>
      <c r="G12" s="6">
        <v>12</v>
      </c>
      <c r="H12" s="6" t="s">
        <v>163</v>
      </c>
      <c r="I12" s="6">
        <v>2</v>
      </c>
      <c r="J12" s="6" t="s">
        <v>140</v>
      </c>
      <c r="K12" s="6">
        <v>7</v>
      </c>
      <c r="L12" s="6" t="s">
        <v>137</v>
      </c>
      <c r="M12" s="6">
        <v>12</v>
      </c>
      <c r="N12" s="6" t="s">
        <v>130</v>
      </c>
      <c r="O12" s="6">
        <v>11</v>
      </c>
      <c r="P12" s="6" t="s">
        <v>114</v>
      </c>
      <c r="Q12" s="6">
        <v>7</v>
      </c>
      <c r="R12" s="6" t="s">
        <v>101</v>
      </c>
      <c r="S12" s="6">
        <v>5</v>
      </c>
      <c r="T12" s="6" t="s">
        <v>87</v>
      </c>
    </row>
    <row r="13" spans="1:24" ht="15" x14ac:dyDescent="0.2">
      <c r="A13" t="s">
        <v>10</v>
      </c>
      <c r="B13" s="3" t="s">
        <v>11</v>
      </c>
      <c r="C13" s="6">
        <v>17</v>
      </c>
      <c r="D13" s="6" t="s">
        <v>62</v>
      </c>
      <c r="E13" s="6">
        <v>1</v>
      </c>
      <c r="F13" s="6" t="s">
        <v>63</v>
      </c>
      <c r="G13" s="6">
        <v>11</v>
      </c>
      <c r="H13" s="6" t="s">
        <v>162</v>
      </c>
      <c r="I13" s="6">
        <v>8</v>
      </c>
      <c r="J13" s="6" t="s">
        <v>146</v>
      </c>
      <c r="K13" s="6">
        <v>4</v>
      </c>
      <c r="L13" s="6" t="s">
        <v>134</v>
      </c>
      <c r="M13" s="6">
        <v>6</v>
      </c>
      <c r="N13" s="6" t="s">
        <v>124</v>
      </c>
      <c r="O13" s="6">
        <v>6</v>
      </c>
      <c r="P13" s="6" t="s">
        <v>109</v>
      </c>
      <c r="Q13" s="6">
        <v>5</v>
      </c>
      <c r="R13" s="6" t="s">
        <v>99</v>
      </c>
      <c r="S13" s="6">
        <v>1</v>
      </c>
      <c r="T13" s="6" t="s">
        <v>83</v>
      </c>
    </row>
    <row r="14" spans="1:24" ht="15" x14ac:dyDescent="0.2">
      <c r="A14" t="s">
        <v>1</v>
      </c>
      <c r="B14" s="1">
        <v>3109686593</v>
      </c>
      <c r="C14" s="6">
        <v>13</v>
      </c>
      <c r="D14" s="6" t="s">
        <v>58</v>
      </c>
      <c r="E14" s="6">
        <v>4</v>
      </c>
      <c r="F14" s="6" t="s">
        <v>66</v>
      </c>
      <c r="G14" s="6">
        <v>9</v>
      </c>
      <c r="H14" s="6" t="s">
        <v>160</v>
      </c>
      <c r="I14" s="6">
        <v>8</v>
      </c>
      <c r="J14" s="6" t="s">
        <v>146</v>
      </c>
      <c r="K14" s="6">
        <v>7</v>
      </c>
      <c r="L14" s="6" t="s">
        <v>137</v>
      </c>
      <c r="M14" s="6">
        <v>3</v>
      </c>
      <c r="N14" s="6" t="s">
        <v>121</v>
      </c>
      <c r="O14" s="6">
        <v>12</v>
      </c>
      <c r="P14" s="6" t="s">
        <v>115</v>
      </c>
      <c r="Q14" s="6">
        <v>7</v>
      </c>
      <c r="R14" s="6" t="s">
        <v>101</v>
      </c>
      <c r="S14" s="6">
        <v>3</v>
      </c>
      <c r="T14" s="6" t="s">
        <v>85</v>
      </c>
    </row>
    <row r="15" spans="1:24" ht="15" x14ac:dyDescent="0.2">
      <c r="A15" t="s">
        <v>0</v>
      </c>
      <c r="B15" s="2" t="s">
        <v>15</v>
      </c>
      <c r="C15" s="6">
        <v>8</v>
      </c>
      <c r="D15" s="6" t="s">
        <v>54</v>
      </c>
      <c r="E15" s="6">
        <v>1</v>
      </c>
      <c r="F15" s="6" t="s">
        <v>63</v>
      </c>
      <c r="G15" s="6">
        <v>6</v>
      </c>
      <c r="H15" s="6" t="s">
        <v>157</v>
      </c>
      <c r="I15" s="6">
        <v>10</v>
      </c>
      <c r="J15" s="6" t="s">
        <v>148</v>
      </c>
      <c r="K15" s="6">
        <v>3</v>
      </c>
      <c r="L15" s="6" t="s">
        <v>133</v>
      </c>
      <c r="M15" s="6">
        <v>8</v>
      </c>
      <c r="N15" s="6" t="s">
        <v>126</v>
      </c>
      <c r="O15" s="6">
        <v>15</v>
      </c>
      <c r="P15" s="6" t="s">
        <v>118</v>
      </c>
      <c r="Q15" s="6">
        <v>8</v>
      </c>
      <c r="R15" s="6" t="s">
        <v>102</v>
      </c>
      <c r="S15" s="6">
        <v>5</v>
      </c>
      <c r="T15" s="6" t="s">
        <v>87</v>
      </c>
    </row>
    <row r="16" spans="1:24" ht="15" x14ac:dyDescent="0.2">
      <c r="A16" t="s">
        <v>17</v>
      </c>
      <c r="B16" s="1" t="s">
        <v>19</v>
      </c>
      <c r="C16" s="6">
        <v>11</v>
      </c>
      <c r="D16" s="6" t="s">
        <v>166</v>
      </c>
      <c r="E16" s="6">
        <v>10</v>
      </c>
      <c r="F16" s="6" t="s">
        <v>72</v>
      </c>
      <c r="G16" s="6">
        <v>1</v>
      </c>
      <c r="H16" s="6" t="s">
        <v>152</v>
      </c>
      <c r="I16" s="6">
        <v>9</v>
      </c>
      <c r="J16" s="6" t="s">
        <v>147</v>
      </c>
      <c r="K16" s="6">
        <v>8</v>
      </c>
      <c r="L16" s="6" t="s">
        <v>138</v>
      </c>
      <c r="M16" s="6">
        <v>4</v>
      </c>
      <c r="N16" s="6" t="s">
        <v>122</v>
      </c>
      <c r="O16" s="6">
        <v>6</v>
      </c>
      <c r="P16" s="6" t="s">
        <v>109</v>
      </c>
      <c r="Q16" s="6">
        <v>2</v>
      </c>
      <c r="R16" s="6" t="s">
        <v>96</v>
      </c>
      <c r="S16" s="6">
        <v>6</v>
      </c>
      <c r="T16" s="6" t="s">
        <v>88</v>
      </c>
    </row>
    <row r="17" spans="1:22" ht="15" x14ac:dyDescent="0.2">
      <c r="A17" t="s">
        <v>18</v>
      </c>
      <c r="B17" s="1" t="s">
        <v>22</v>
      </c>
      <c r="C17" s="6">
        <v>8</v>
      </c>
      <c r="D17" s="6" t="s">
        <v>54</v>
      </c>
      <c r="E17" s="6">
        <v>14</v>
      </c>
      <c r="F17" s="6" t="s">
        <v>76</v>
      </c>
      <c r="G17" s="6">
        <v>6</v>
      </c>
      <c r="H17" s="6" t="s">
        <v>157</v>
      </c>
      <c r="I17" s="6">
        <v>1</v>
      </c>
      <c r="J17" s="6" t="s">
        <v>139</v>
      </c>
      <c r="K17" s="6">
        <v>3</v>
      </c>
      <c r="L17" s="6" t="s">
        <v>133</v>
      </c>
      <c r="M17" s="6">
        <v>7</v>
      </c>
      <c r="N17" s="6" t="s">
        <v>125</v>
      </c>
      <c r="O17" s="6">
        <v>9</v>
      </c>
      <c r="P17" s="6" t="s">
        <v>112</v>
      </c>
      <c r="Q17" s="6">
        <v>5</v>
      </c>
      <c r="R17" s="6" t="s">
        <v>99</v>
      </c>
      <c r="S17" s="6">
        <v>7</v>
      </c>
      <c r="T17" s="6" t="s">
        <v>89</v>
      </c>
    </row>
    <row r="18" spans="1:22" ht="15" x14ac:dyDescent="0.2">
      <c r="A18" t="s">
        <v>20</v>
      </c>
      <c r="B18" s="1" t="s">
        <v>23</v>
      </c>
      <c r="C18" s="6">
        <v>9</v>
      </c>
      <c r="D18" s="6" t="s">
        <v>55</v>
      </c>
      <c r="E18" s="6">
        <v>12</v>
      </c>
      <c r="F18" s="6" t="s">
        <v>74</v>
      </c>
      <c r="G18" s="6">
        <v>10</v>
      </c>
      <c r="H18" s="6" t="s">
        <v>161</v>
      </c>
      <c r="I18" s="6">
        <v>3</v>
      </c>
      <c r="J18" s="6" t="s">
        <v>141</v>
      </c>
      <c r="K18" s="6">
        <v>3</v>
      </c>
      <c r="L18" s="6" t="s">
        <v>133</v>
      </c>
      <c r="M18" s="6">
        <v>11</v>
      </c>
      <c r="N18" s="6" t="s">
        <v>129</v>
      </c>
      <c r="O18" s="6">
        <v>13</v>
      </c>
      <c r="P18" s="6" t="s">
        <v>116</v>
      </c>
      <c r="Q18" s="6">
        <v>1</v>
      </c>
      <c r="R18" s="6" t="s">
        <v>95</v>
      </c>
      <c r="S18" s="6">
        <v>4</v>
      </c>
      <c r="T18" s="6" t="s">
        <v>86</v>
      </c>
    </row>
    <row r="19" spans="1:22" ht="15" x14ac:dyDescent="0.2">
      <c r="A19" t="s">
        <v>25</v>
      </c>
      <c r="B19" s="1" t="s">
        <v>24</v>
      </c>
      <c r="C19" s="6">
        <v>7</v>
      </c>
      <c r="D19" s="6" t="s">
        <v>53</v>
      </c>
      <c r="E19" s="6">
        <v>4</v>
      </c>
      <c r="F19" s="6" t="s">
        <v>66</v>
      </c>
      <c r="G19" s="6">
        <v>10</v>
      </c>
      <c r="H19" s="6" t="s">
        <v>161</v>
      </c>
      <c r="I19" s="6">
        <v>9</v>
      </c>
      <c r="J19" s="6" t="s">
        <v>147</v>
      </c>
      <c r="K19" s="6">
        <v>7</v>
      </c>
      <c r="L19" s="6" t="s">
        <v>137</v>
      </c>
      <c r="M19" s="6">
        <v>12</v>
      </c>
      <c r="N19" s="6" t="s">
        <v>130</v>
      </c>
      <c r="O19" s="6">
        <v>15</v>
      </c>
      <c r="P19" s="6" t="s">
        <v>118</v>
      </c>
      <c r="Q19" s="6">
        <v>2</v>
      </c>
      <c r="R19" s="6" t="s">
        <v>96</v>
      </c>
      <c r="S19" s="6">
        <v>3</v>
      </c>
      <c r="T19" s="6" t="s">
        <v>85</v>
      </c>
    </row>
    <row r="20" spans="1:22" ht="15" x14ac:dyDescent="0.2">
      <c r="A20" t="s">
        <v>26</v>
      </c>
      <c r="B20" s="1" t="s">
        <v>28</v>
      </c>
      <c r="C20" s="6">
        <v>8</v>
      </c>
      <c r="D20" s="6" t="s">
        <v>54</v>
      </c>
      <c r="E20" s="6">
        <v>20</v>
      </c>
      <c r="F20" s="6" t="s">
        <v>82</v>
      </c>
      <c r="G20" s="6">
        <v>11</v>
      </c>
      <c r="H20" s="6" t="s">
        <v>162</v>
      </c>
      <c r="I20" s="6">
        <v>1</v>
      </c>
      <c r="J20" s="6" t="s">
        <v>139</v>
      </c>
      <c r="K20" s="6">
        <v>4</v>
      </c>
      <c r="L20" s="6" t="s">
        <v>134</v>
      </c>
      <c r="M20" s="6">
        <v>12</v>
      </c>
      <c r="N20" s="6" t="s">
        <v>130</v>
      </c>
      <c r="O20" s="6">
        <v>6</v>
      </c>
      <c r="P20" s="6" t="s">
        <v>109</v>
      </c>
      <c r="Q20" s="6">
        <v>5</v>
      </c>
      <c r="R20" s="6" t="s">
        <v>99</v>
      </c>
      <c r="S20" s="6">
        <v>12</v>
      </c>
      <c r="T20" s="6" t="s">
        <v>94</v>
      </c>
    </row>
    <row r="21" spans="1:22" ht="15" x14ac:dyDescent="0.2">
      <c r="A21" t="s">
        <v>27</v>
      </c>
      <c r="B21" s="1" t="s">
        <v>22</v>
      </c>
      <c r="C21" s="6">
        <v>2</v>
      </c>
      <c r="D21" s="6" t="s">
        <v>48</v>
      </c>
      <c r="E21" s="6">
        <v>13</v>
      </c>
      <c r="F21" s="6" t="s">
        <v>75</v>
      </c>
      <c r="G21" s="6">
        <v>3</v>
      </c>
      <c r="H21" s="6" t="s">
        <v>154</v>
      </c>
      <c r="I21" s="6">
        <v>1</v>
      </c>
      <c r="J21" s="6" t="s">
        <v>139</v>
      </c>
      <c r="K21" s="6">
        <v>3</v>
      </c>
      <c r="L21" s="6" t="s">
        <v>133</v>
      </c>
      <c r="M21" s="6">
        <v>4</v>
      </c>
      <c r="N21" s="6" t="s">
        <v>122</v>
      </c>
      <c r="O21" s="6">
        <v>5</v>
      </c>
      <c r="P21" s="6" t="s">
        <v>108</v>
      </c>
      <c r="Q21" s="6">
        <v>8</v>
      </c>
      <c r="R21" s="6" t="s">
        <v>102</v>
      </c>
      <c r="S21" s="6">
        <v>11</v>
      </c>
      <c r="T21" s="6" t="s">
        <v>93</v>
      </c>
    </row>
    <row r="22" spans="1:22" ht="15" x14ac:dyDescent="0.2">
      <c r="A22" t="s">
        <v>171</v>
      </c>
      <c r="B22" s="1" t="s">
        <v>172</v>
      </c>
      <c r="C22" s="6">
        <v>5</v>
      </c>
      <c r="D22" s="6" t="s">
        <v>51</v>
      </c>
      <c r="E22" s="6">
        <v>8</v>
      </c>
      <c r="F22" s="6" t="s">
        <v>70</v>
      </c>
      <c r="G22" s="6">
        <v>5</v>
      </c>
      <c r="H22" s="6" t="s">
        <v>156</v>
      </c>
      <c r="I22" s="6">
        <v>10</v>
      </c>
      <c r="J22" s="6" t="s">
        <v>148</v>
      </c>
      <c r="K22" s="6">
        <v>4</v>
      </c>
      <c r="L22" s="6" t="s">
        <v>134</v>
      </c>
      <c r="M22" s="6">
        <v>2</v>
      </c>
      <c r="N22" s="6" t="s">
        <v>120</v>
      </c>
      <c r="O22" s="6">
        <v>9</v>
      </c>
      <c r="P22" s="6" t="s">
        <v>112</v>
      </c>
      <c r="Q22" s="6">
        <v>5</v>
      </c>
      <c r="R22" s="6" t="s">
        <v>99</v>
      </c>
      <c r="S22" s="6">
        <v>11</v>
      </c>
      <c r="T22" s="6" t="s">
        <v>93</v>
      </c>
    </row>
    <row r="23" spans="1:22" ht="15" x14ac:dyDescent="0.2">
      <c r="A23" t="s">
        <v>208</v>
      </c>
      <c r="B23" s="1" t="s">
        <v>174</v>
      </c>
      <c r="C23" s="6">
        <v>1</v>
      </c>
      <c r="D23" s="6" t="s">
        <v>47</v>
      </c>
      <c r="E23" s="6">
        <v>4</v>
      </c>
      <c r="F23" s="6" t="s">
        <v>66</v>
      </c>
      <c r="G23" s="6">
        <v>8</v>
      </c>
      <c r="H23" s="6" t="s">
        <v>159</v>
      </c>
      <c r="I23" s="6">
        <v>12</v>
      </c>
      <c r="J23" s="6" t="s">
        <v>150</v>
      </c>
      <c r="K23" s="6">
        <v>1</v>
      </c>
      <c r="L23" s="6" t="s">
        <v>131</v>
      </c>
      <c r="M23" s="6">
        <v>10</v>
      </c>
      <c r="N23" s="6" t="s">
        <v>128</v>
      </c>
      <c r="O23" s="6">
        <v>3</v>
      </c>
      <c r="P23" s="6" t="s">
        <v>106</v>
      </c>
      <c r="Q23" s="6">
        <v>5</v>
      </c>
      <c r="R23" s="6" t="s">
        <v>99</v>
      </c>
      <c r="S23" s="6">
        <v>4</v>
      </c>
      <c r="T23" s="6" t="s">
        <v>86</v>
      </c>
    </row>
    <row r="24" spans="1:22" ht="15" x14ac:dyDescent="0.2">
      <c r="A24" t="s">
        <v>175</v>
      </c>
      <c r="B24" s="1" t="s">
        <v>186</v>
      </c>
      <c r="C24" s="6">
        <v>1</v>
      </c>
      <c r="D24" s="6" t="s">
        <v>47</v>
      </c>
      <c r="E24" s="6">
        <v>10</v>
      </c>
      <c r="F24" s="6" t="s">
        <v>72</v>
      </c>
      <c r="G24" s="6">
        <v>7</v>
      </c>
      <c r="H24" s="6" t="s">
        <v>158</v>
      </c>
      <c r="I24" s="6">
        <v>12</v>
      </c>
      <c r="J24" s="6" t="s">
        <v>150</v>
      </c>
      <c r="K24" s="6">
        <v>6</v>
      </c>
      <c r="L24" s="6" t="s">
        <v>136</v>
      </c>
      <c r="M24" s="6">
        <v>8</v>
      </c>
      <c r="N24" s="6" t="s">
        <v>126</v>
      </c>
      <c r="O24" s="6">
        <v>7</v>
      </c>
      <c r="P24" s="6" t="s">
        <v>110</v>
      </c>
      <c r="Q24" s="6">
        <v>8</v>
      </c>
      <c r="R24" s="6" t="s">
        <v>102</v>
      </c>
      <c r="S24" s="6">
        <v>9</v>
      </c>
      <c r="T24" s="6" t="s">
        <v>91</v>
      </c>
    </row>
    <row r="25" spans="1:22" ht="15" x14ac:dyDescent="0.2">
      <c r="A25" t="s">
        <v>177</v>
      </c>
      <c r="B25" s="1" t="s">
        <v>186</v>
      </c>
      <c r="C25" s="6">
        <v>8</v>
      </c>
      <c r="D25" s="6" t="s">
        <v>54</v>
      </c>
      <c r="E25" s="6">
        <v>1</v>
      </c>
      <c r="F25" s="6" t="s">
        <v>63</v>
      </c>
      <c r="G25" s="6">
        <v>4</v>
      </c>
      <c r="H25" s="6" t="s">
        <v>155</v>
      </c>
      <c r="I25" s="6">
        <v>6</v>
      </c>
      <c r="J25" s="6" t="s">
        <v>144</v>
      </c>
      <c r="K25" s="6">
        <v>7</v>
      </c>
      <c r="L25" s="6" t="s">
        <v>137</v>
      </c>
      <c r="M25" s="6">
        <v>4</v>
      </c>
      <c r="N25" s="6" t="s">
        <v>122</v>
      </c>
      <c r="O25" s="6">
        <v>10</v>
      </c>
      <c r="P25" s="6" t="s">
        <v>113</v>
      </c>
      <c r="Q25" s="6">
        <v>6</v>
      </c>
      <c r="R25" s="6" t="s">
        <v>100</v>
      </c>
      <c r="S25" s="6">
        <v>3</v>
      </c>
      <c r="T25" s="6" t="s">
        <v>85</v>
      </c>
    </row>
    <row r="26" spans="1:22" ht="15" x14ac:dyDescent="0.2">
      <c r="A26" t="s">
        <v>178</v>
      </c>
      <c r="B26" s="1" t="s">
        <v>186</v>
      </c>
      <c r="C26" s="6">
        <v>17</v>
      </c>
      <c r="D26" s="6" t="s">
        <v>62</v>
      </c>
      <c r="E26" s="6">
        <v>13</v>
      </c>
      <c r="F26" s="6" t="s">
        <v>75</v>
      </c>
      <c r="G26" s="6">
        <v>6</v>
      </c>
      <c r="H26" s="6" t="s">
        <v>157</v>
      </c>
      <c r="I26" s="6">
        <v>5</v>
      </c>
      <c r="J26" s="6" t="s">
        <v>143</v>
      </c>
      <c r="K26" s="6">
        <v>8</v>
      </c>
      <c r="L26" s="6" t="s">
        <v>138</v>
      </c>
      <c r="M26" s="6">
        <v>5</v>
      </c>
      <c r="N26" s="6" t="s">
        <v>123</v>
      </c>
      <c r="O26" s="6">
        <v>4</v>
      </c>
      <c r="P26" s="6" t="s">
        <v>107</v>
      </c>
      <c r="Q26" s="6">
        <v>9</v>
      </c>
      <c r="R26" s="6" t="s">
        <v>103</v>
      </c>
      <c r="S26" s="6">
        <v>6</v>
      </c>
      <c r="T26" s="6" t="s">
        <v>88</v>
      </c>
    </row>
    <row r="27" spans="1:22" ht="15" x14ac:dyDescent="0.2">
      <c r="A27" t="s">
        <v>179</v>
      </c>
      <c r="B27" s="1" t="s">
        <v>186</v>
      </c>
      <c r="C27" s="6">
        <v>10</v>
      </c>
      <c r="D27" s="6" t="s">
        <v>56</v>
      </c>
      <c r="E27" s="6">
        <v>18</v>
      </c>
      <c r="F27" s="6" t="s">
        <v>80</v>
      </c>
      <c r="G27" s="6">
        <v>12</v>
      </c>
      <c r="H27" s="6" t="s">
        <v>163</v>
      </c>
      <c r="I27" s="6">
        <v>9</v>
      </c>
      <c r="J27" s="6" t="s">
        <v>147</v>
      </c>
      <c r="K27" s="6">
        <v>2</v>
      </c>
      <c r="L27" s="6" t="s">
        <v>132</v>
      </c>
      <c r="M27" s="6">
        <v>12</v>
      </c>
      <c r="N27" s="6" t="s">
        <v>130</v>
      </c>
      <c r="O27" s="6">
        <v>6</v>
      </c>
      <c r="P27" s="6" t="s">
        <v>109</v>
      </c>
      <c r="Q27" s="6">
        <v>8</v>
      </c>
      <c r="R27" s="6" t="s">
        <v>102</v>
      </c>
      <c r="S27" s="6">
        <v>11</v>
      </c>
      <c r="T27" s="6" t="s">
        <v>93</v>
      </c>
    </row>
    <row r="28" spans="1:22" ht="15" x14ac:dyDescent="0.2">
      <c r="A28" t="s">
        <v>180</v>
      </c>
      <c r="B28" s="1" t="s">
        <v>186</v>
      </c>
      <c r="C28" s="6">
        <v>2</v>
      </c>
      <c r="D28" s="6" t="s">
        <v>48</v>
      </c>
      <c r="E28" s="6">
        <v>14</v>
      </c>
      <c r="F28" s="6" t="s">
        <v>76</v>
      </c>
      <c r="G28" s="6">
        <v>11</v>
      </c>
      <c r="H28" s="6" t="s">
        <v>162</v>
      </c>
      <c r="I28" s="6">
        <v>5</v>
      </c>
      <c r="J28" s="6" t="s">
        <v>143</v>
      </c>
      <c r="K28" s="6">
        <v>2</v>
      </c>
      <c r="L28" s="6" t="s">
        <v>132</v>
      </c>
      <c r="M28" s="6">
        <v>11</v>
      </c>
      <c r="N28" s="6" t="s">
        <v>129</v>
      </c>
      <c r="O28" s="6">
        <v>7</v>
      </c>
      <c r="P28" s="6" t="s">
        <v>110</v>
      </c>
      <c r="Q28" s="6">
        <v>6</v>
      </c>
      <c r="R28" s="6" t="s">
        <v>100</v>
      </c>
      <c r="S28" s="6">
        <v>6</v>
      </c>
      <c r="T28" s="6" t="s">
        <v>88</v>
      </c>
    </row>
    <row r="29" spans="1:22" ht="15" x14ac:dyDescent="0.2">
      <c r="A29" t="s">
        <v>181</v>
      </c>
      <c r="B29" s="1" t="s">
        <v>186</v>
      </c>
      <c r="C29" s="6">
        <v>14</v>
      </c>
      <c r="D29" s="6" t="s">
        <v>59</v>
      </c>
      <c r="E29" s="6">
        <v>16</v>
      </c>
      <c r="F29" s="6" t="s">
        <v>78</v>
      </c>
      <c r="G29" s="6">
        <v>3</v>
      </c>
      <c r="H29" s="6" t="s">
        <v>154</v>
      </c>
      <c r="I29" s="6">
        <v>1</v>
      </c>
      <c r="J29" s="6" t="s">
        <v>139</v>
      </c>
      <c r="K29" s="6">
        <v>8</v>
      </c>
      <c r="L29" s="6" t="s">
        <v>138</v>
      </c>
      <c r="M29" s="6">
        <v>1</v>
      </c>
      <c r="N29" s="6" t="s">
        <v>119</v>
      </c>
      <c r="O29" s="6">
        <v>3</v>
      </c>
      <c r="P29" s="6" t="s">
        <v>106</v>
      </c>
      <c r="Q29" s="6">
        <v>1</v>
      </c>
      <c r="R29" s="6" t="s">
        <v>95</v>
      </c>
      <c r="S29" s="6">
        <v>7</v>
      </c>
      <c r="T29" s="6" t="s">
        <v>89</v>
      </c>
    </row>
    <row r="30" spans="1:22" ht="15" x14ac:dyDescent="0.2">
      <c r="A30" t="s">
        <v>182</v>
      </c>
      <c r="B30" s="1" t="s">
        <v>186</v>
      </c>
      <c r="C30" s="6">
        <v>7</v>
      </c>
      <c r="D30" s="6" t="s">
        <v>53</v>
      </c>
      <c r="E30" s="6">
        <v>16</v>
      </c>
      <c r="F30" s="6" t="s">
        <v>78</v>
      </c>
      <c r="G30" s="6">
        <v>1</v>
      </c>
      <c r="H30" s="6" t="s">
        <v>152</v>
      </c>
      <c r="I30" s="6">
        <v>4</v>
      </c>
      <c r="J30" s="6" t="s">
        <v>142</v>
      </c>
      <c r="K30" s="6">
        <v>7</v>
      </c>
      <c r="L30" s="6" t="s">
        <v>137</v>
      </c>
      <c r="M30" s="6">
        <v>1</v>
      </c>
      <c r="N30" s="6" t="s">
        <v>119</v>
      </c>
      <c r="O30" s="6">
        <v>2</v>
      </c>
      <c r="P30" s="6" t="s">
        <v>105</v>
      </c>
      <c r="Q30" s="6">
        <v>3</v>
      </c>
      <c r="R30" s="6" t="s">
        <v>97</v>
      </c>
      <c r="S30" s="6">
        <v>4</v>
      </c>
      <c r="T30" s="6" t="s">
        <v>86</v>
      </c>
    </row>
    <row r="31" spans="1:22" ht="15" x14ac:dyDescent="0.2">
      <c r="A31" t="s">
        <v>200</v>
      </c>
      <c r="B31" s="1" t="s">
        <v>199</v>
      </c>
      <c r="C31" s="6">
        <v>15</v>
      </c>
      <c r="D31" s="6" t="s">
        <v>60</v>
      </c>
      <c r="E31" s="6">
        <v>17</v>
      </c>
      <c r="F31" s="6" t="s">
        <v>79</v>
      </c>
      <c r="G31" s="6">
        <v>5</v>
      </c>
      <c r="H31" s="6" t="s">
        <v>156</v>
      </c>
      <c r="I31" s="6">
        <v>8</v>
      </c>
      <c r="J31" s="6" t="s">
        <v>146</v>
      </c>
      <c r="K31" s="6">
        <v>6</v>
      </c>
      <c r="L31" s="6" t="s">
        <v>136</v>
      </c>
      <c r="M31" s="6">
        <v>10</v>
      </c>
      <c r="N31" s="6" t="s">
        <v>128</v>
      </c>
      <c r="O31" s="6">
        <v>3</v>
      </c>
      <c r="P31" s="6" t="s">
        <v>106</v>
      </c>
      <c r="Q31" s="6">
        <v>7</v>
      </c>
      <c r="R31" s="6" t="s">
        <v>101</v>
      </c>
      <c r="S31" s="6">
        <v>10</v>
      </c>
      <c r="T31" s="6" t="s">
        <v>92</v>
      </c>
      <c r="U31" s="6"/>
      <c r="V31" s="6"/>
    </row>
    <row r="32" spans="1:22" ht="15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9" x14ac:dyDescent="0.2">
      <c r="H33" s="6"/>
      <c r="J33" s="6"/>
      <c r="L33" s="6"/>
      <c r="N33" s="6"/>
      <c r="O33" s="6"/>
      <c r="P33" s="6"/>
      <c r="R33" s="6"/>
      <c r="T33" s="6"/>
    </row>
    <row r="34" spans="1:29" x14ac:dyDescent="0.2">
      <c r="A34" s="14" t="s">
        <v>183</v>
      </c>
      <c r="C34" s="25">
        <v>1</v>
      </c>
      <c r="D34" s="10" t="str">
        <f>(IF(ISBLANK(C34),"",VLOOKUP(C34,Race1!$A$1:$B$17,2,FALSE)))</f>
        <v>DE CONKIE MAN</v>
      </c>
      <c r="E34" s="25">
        <v>9</v>
      </c>
      <c r="F34" s="10" t="str">
        <f>IF(ISBLANK(E34),"",VLOOKUP(E34,Race2!$A$1:$B$20,2,FALSE))</f>
        <v>AERODYNAMIC</v>
      </c>
      <c r="G34" s="25">
        <v>2</v>
      </c>
      <c r="H34" s="10" t="str">
        <f>IF(ISBLANK(G34),"",VLOOKUP(G34,Race3!$A$1:$B$12,2,FALSE))</f>
        <v>TERRAIN(USA)</v>
      </c>
      <c r="I34" s="25">
        <v>2</v>
      </c>
      <c r="J34" s="10" t="str">
        <f>IF(ISBLANK(I34),"",VLOOKUP(I34,Race4!$A$1:$B$13,2,FALSE))</f>
        <v>DOMINUS</v>
      </c>
      <c r="K34" s="25">
        <v>1</v>
      </c>
      <c r="L34" s="10" t="str">
        <f>IF(ISBLANK(K34),"",VLOOKUP(K34,Race5!$A$1:$B$8,2,FALSE))</f>
        <v>AMANTE</v>
      </c>
      <c r="M34" s="25">
        <v>9</v>
      </c>
      <c r="N34" s="10" t="str">
        <f>IF(ISBLANK(M34),"",VLOOKUP(M34,Race6!$A$1:$B$12,2,FALSE))</f>
        <v>GANDALF</v>
      </c>
      <c r="O34" s="25">
        <v>9</v>
      </c>
      <c r="P34" s="10" t="str">
        <f>IF(ISBLANK(O34),"",VLOOKUP(O34,Race7!$A$1:$B$15,2,FALSE))</f>
        <v>TWINKLED</v>
      </c>
      <c r="Q34" s="25">
        <v>7</v>
      </c>
      <c r="R34" s="10" t="str">
        <f>IF(ISBLANK(Q34),"",VLOOKUP(Q34,Race8!$A$1:$B$9,2,FALSE))</f>
        <v>LITTLE BUT LUCKY</v>
      </c>
      <c r="S34" s="25">
        <v>11</v>
      </c>
      <c r="T34" s="10" t="str">
        <f>IF(ISBLANK(S34),"",VLOOKUP(S34,Race9!$A$1:$B$12,2,FALSE))</f>
        <v>WHATYOUTHINK</v>
      </c>
    </row>
    <row r="35" spans="1:29" x14ac:dyDescent="0.2">
      <c r="A35" s="14" t="s">
        <v>184</v>
      </c>
      <c r="C35" s="25">
        <v>15</v>
      </c>
      <c r="D35" s="10" t="str">
        <f>(IF(ISBLANK(C35),"",VLOOKUP(C35,Race1!$A$1:$B$17,2,FALSE)))</f>
        <v>DREAM SOCIETY</v>
      </c>
      <c r="E35" s="25">
        <v>10</v>
      </c>
      <c r="F35" s="10" t="str">
        <f>IF(ISBLANK(E35),"",VLOOKUP(E35,Race2!$A$1:$B$20,2,FALSE))</f>
        <v>OBEROI(Res 02)</v>
      </c>
      <c r="G35" s="25">
        <v>12</v>
      </c>
      <c r="H35" s="10" t="str">
        <f>IF(ISBLANK(G35),"",VLOOKUP(G35,Race3!$A$1:$B$12,2,FALSE))</f>
        <v>SING SING</v>
      </c>
      <c r="I35" s="25">
        <v>12</v>
      </c>
      <c r="J35" s="10" t="str">
        <f>IF(ISBLANK(I35),"",VLOOKUP(I35,Race4!$A$1:$B$13,2,FALSE))</f>
        <v>RUTH</v>
      </c>
      <c r="K35" s="25">
        <v>2</v>
      </c>
      <c r="L35" s="10" t="str">
        <f>IF(ISBLANK(K35),"",VLOOKUP(K35,Race5!$A$1:$B$8,2,FALSE))</f>
        <v>ABSOLUT STAR</v>
      </c>
      <c r="M35" s="25">
        <v>5</v>
      </c>
      <c r="N35" s="10" t="str">
        <f>IF(ISBLANK(M35),"",VLOOKUP(M35,Race6!$A$1:$B$12,2,FALSE))</f>
        <v>ZAGAN(USA)</v>
      </c>
      <c r="O35" s="25">
        <v>6</v>
      </c>
      <c r="P35" s="10" t="str">
        <f>IF(ISBLANK(O35),"",VLOOKUP(O35,Race7!$A$1:$B$15,2,FALSE))</f>
        <v>BRIGHTON STAR</v>
      </c>
      <c r="Q35" s="25">
        <v>2</v>
      </c>
      <c r="R35" s="10" t="str">
        <f>IF(ISBLANK(Q35),"",VLOOKUP(Q35,Race8!$A$1:$B$9,2,FALSE))</f>
        <v>NO FLY ZONE</v>
      </c>
      <c r="S35" s="25">
        <v>7</v>
      </c>
      <c r="T35" s="10" t="str">
        <f>IF(ISBLANK(S35),"",VLOOKUP(S35,Race9!$A$1:$B$12,2,FALSE))</f>
        <v>FANTASTIC FRANCES</v>
      </c>
    </row>
    <row r="36" spans="1:29" x14ac:dyDescent="0.2">
      <c r="A36" s="14" t="s">
        <v>185</v>
      </c>
      <c r="C36" s="25">
        <v>11</v>
      </c>
      <c r="D36" s="10" t="str">
        <f>(IF(ISBLANK(C36),"",VLOOKUP(C36,Race1!$A$1:$B$17,2,FALSE)))</f>
        <v>PEOPLE'S CHAMP</v>
      </c>
      <c r="E36" s="25">
        <v>18</v>
      </c>
      <c r="F36" s="10" t="str">
        <f>IF(ISBLANK(E36),"",VLOOKUP(E36,Race2!$A$1:$B$20,2,FALSE))</f>
        <v>SECRET MISSION</v>
      </c>
      <c r="G36" s="25">
        <v>8</v>
      </c>
      <c r="H36" s="10" t="str">
        <f>IF(ISBLANK(G36),"",VLOOKUP(G36,Race3!$A$1:$B$12,2,FALSE))</f>
        <v>JACKMANANNYGAP</v>
      </c>
      <c r="I36" s="25">
        <v>7</v>
      </c>
      <c r="J36" s="10" t="str">
        <f>IF(ISBLANK(I36),"",VLOOKUP(I36,Race4!$A$1:$B$13,2,FALSE))</f>
        <v>CONFLICTOFINTEREST</v>
      </c>
      <c r="K36" s="25">
        <v>3</v>
      </c>
      <c r="L36" s="10" t="str">
        <f>IF(ISBLANK(K36),"",VLOOKUP(K36,Race5!$A$1:$B$8,2,FALSE))</f>
        <v>CRITERION</v>
      </c>
      <c r="M36" s="25">
        <v>2</v>
      </c>
      <c r="N36" s="10" t="str">
        <f>IF(ISBLANK(M36),"",VLOOKUP(M36,Race6!$A$1:$B$12,2,FALSE))</f>
        <v>STEALIN</v>
      </c>
      <c r="O36" s="25">
        <v>4</v>
      </c>
      <c r="P36" s="10" t="str">
        <f>IF(ISBLANK(O36),"",VLOOKUP(O36,Race7!$A$1:$B$15,2,FALSE))</f>
        <v>GABRIEL</v>
      </c>
      <c r="Q36" s="25">
        <v>9</v>
      </c>
      <c r="R36" s="10" t="str">
        <f>IF(ISBLANK(Q36),"",VLOOKUP(Q36,Race8!$A$1:$B$9,2,FALSE))</f>
        <v>BIRD CAGE</v>
      </c>
      <c r="S36" s="25">
        <v>8</v>
      </c>
      <c r="T36" s="10" t="str">
        <f>IF(ISBLANK(S36),"",VLOOKUP(S36,Race9!$A$1:$B$12,2,FALSE))</f>
        <v>TROJAN</v>
      </c>
    </row>
    <row r="37" spans="1:29" x14ac:dyDescent="0.2">
      <c r="D37" s="6"/>
    </row>
    <row r="43" spans="1:29" ht="15.75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  <c r="L43" s="21" t="s">
        <v>204</v>
      </c>
      <c r="M43" s="21" t="s">
        <v>202</v>
      </c>
      <c r="N43" s="21" t="s">
        <v>203</v>
      </c>
      <c r="O43" s="22" t="s">
        <v>205</v>
      </c>
      <c r="U43" s="11" t="s">
        <v>29</v>
      </c>
      <c r="V43" s="11" t="s">
        <v>30</v>
      </c>
      <c r="W43" s="11" t="s">
        <v>31</v>
      </c>
      <c r="X43" s="11" t="s">
        <v>32</v>
      </c>
      <c r="Y43" s="11" t="s">
        <v>33</v>
      </c>
      <c r="Z43" s="11" t="s">
        <v>34</v>
      </c>
      <c r="AA43" s="11" t="s">
        <v>35</v>
      </c>
      <c r="AB43" s="11" t="s">
        <v>36</v>
      </c>
      <c r="AC43" s="11" t="s">
        <v>37</v>
      </c>
    </row>
    <row r="44" spans="1:29" ht="19.5" thickTop="1" x14ac:dyDescent="0.25">
      <c r="A44" t="str">
        <f t="shared" ref="A44:A71" si="0">A4</f>
        <v>Adam</v>
      </c>
      <c r="B44" s="9" t="str">
        <f>IF(C4=$C$34,"WIN",IF(C4=$C$35,"PLACE",IF(C4=$C$36,"SHOW","")))</f>
        <v>SHOW</v>
      </c>
      <c r="C44" s="10" t="str">
        <f>IF(E4=$E$34,"WIN",IF(E4=$E$35,"PLACE",IF(E4=$E$36,"SHOW","")))</f>
        <v/>
      </c>
      <c r="D44" s="10" t="str">
        <f>IF(G4=$G$34,"WIN",IF(G4=$G$35,"PLACE",IF(G4=$G$36,"SHOW","")))</f>
        <v/>
      </c>
      <c r="E44" s="10" t="str">
        <f>IF(I4=$I$34,"WIN",IF(I4=$I$35,"PLACE",IF(I4=$I$36,"SHOW","")))</f>
        <v/>
      </c>
      <c r="F44" s="10" t="str">
        <f>IF(K4=$K$34,"WIN",IF(K4=$K$35,"PLACE",IF(K4=$K$36,"SHOW","")))</f>
        <v/>
      </c>
      <c r="G44" s="10" t="str">
        <f>IF(M4=$M$34,"WIN",IF(M4=$M$35,"PLACE",IF(M4=$M$36,"SHOW","")))</f>
        <v/>
      </c>
      <c r="H44" s="10" t="str">
        <f>IF(O4=$O$34,"WIN",IF(O4=$O$35,"PLACE",IF(O4=$O$36,"SHOW","")))</f>
        <v/>
      </c>
      <c r="I44" s="10" t="str">
        <f>IF(Q4=$Q$34,"WIN",IF(Q4=$Q$35,"PLACE",IF(Q4=$Q$36,"SHOW","")))</f>
        <v/>
      </c>
      <c r="J44" s="10" t="str">
        <f>IF(S4=$S$34,"WIN",IF(S4=$S$35,"PLACE",IF(S4=$S$36,"SHOW","")))</f>
        <v/>
      </c>
      <c r="L44">
        <f>(COUNTIF($B44:$J44,"WIN"))</f>
        <v>0</v>
      </c>
      <c r="M44">
        <f>(COUNTIF($B44:$J44,"PLACE"))</f>
        <v>0</v>
      </c>
      <c r="N44">
        <f>(COUNTIF($B44:$J44,"SHOW"))</f>
        <v>1</v>
      </c>
      <c r="O44" s="24">
        <f>SUM($U44:$AC44)</f>
        <v>4.4871794871794872</v>
      </c>
      <c r="U44" s="23">
        <f>IF(B$44="WIN",B$73,IF(B$44="PLACE",B$74,IF(B$44="SHOW",B$75,0)))</f>
        <v>4.4871794871794872</v>
      </c>
      <c r="V44" s="23">
        <f>IF($C44="WIN",$C$73,IF($C44="PLACE",$C$74,IF($C44="SHOW",$C$75,0)))</f>
        <v>0</v>
      </c>
      <c r="W44" s="23">
        <f>IF($D44="WIN",$D$73,IF($D44="PLACE",$D$74,IF($D44="SHOW",$D$75,0)))</f>
        <v>0</v>
      </c>
      <c r="X44" s="23">
        <f>IF($E44="WIN",$E$73,IF($E44="PLACE",$E$74,IF($E44="SHOW",$E$75,0)))</f>
        <v>0</v>
      </c>
      <c r="Y44" s="23">
        <f>IF($F44="WIN",$F$73,IF($F44="PLACE",$F$74,IF($F44="SHOW",$F$75,0)))</f>
        <v>0</v>
      </c>
      <c r="Z44" s="23">
        <f>IF($G44="WIN",$G$73,IF($G44="PLACE",$G$74,IF($G44="SHOW",$G$75,0)))</f>
        <v>0</v>
      </c>
      <c r="AA44" s="23">
        <f>IF($H44="WIN",$H$73,IF($H44="PLACE",$H74,IF($H44="SHOW",$H$75,0)))</f>
        <v>0</v>
      </c>
      <c r="AB44" s="23">
        <f>IF($I44="WIN",$I$73,IF($I44="PLACE",$I74,IF($I44="SHOW",$I$75,0)))</f>
        <v>0</v>
      </c>
      <c r="AC44" s="23">
        <f>IF($J44="WIN",$J$73,IF($J44="PLACE",$J$74,IF($J44="SHOW",$J$75,0)))</f>
        <v>0</v>
      </c>
    </row>
    <row r="45" spans="1:29" ht="18.75" x14ac:dyDescent="0.25">
      <c r="A45" t="str">
        <f t="shared" si="0"/>
        <v>Andrea</v>
      </c>
      <c r="B45" s="9" t="str">
        <f t="shared" ref="B45:B71" si="1">IF(C5=$C$34,"WIN",IF(C5=$C$35,"PLACE",IF(C5=$C$36,"SHOW","")))</f>
        <v>WIN</v>
      </c>
      <c r="C45" s="10" t="str">
        <f t="shared" ref="C45:C71" si="2">IF(E5=$E$34,"WIN",IF(E5=$E$35,"PLACE",IF(E5=$E$36,"SHOW","")))</f>
        <v/>
      </c>
      <c r="D45" s="10" t="str">
        <f t="shared" ref="D45:D71" si="3">IF(G5=$G$34,"WIN",IF(G5=$G$35,"PLACE",IF(G5=$G$36,"SHOW","")))</f>
        <v>PLACE</v>
      </c>
      <c r="E45" s="10" t="str">
        <f t="shared" ref="E45:E71" si="4">IF(I5=$I$34,"WIN",IF(I5=$I$35,"PLACE",IF(I5=$I$36,"SHOW","")))</f>
        <v/>
      </c>
      <c r="F45" s="10" t="str">
        <f t="shared" ref="F45:F71" si="5">IF(K5=$K$34,"WIN",IF(K5=$K$35,"PLACE",IF(K5=$K$36,"SHOW","")))</f>
        <v/>
      </c>
      <c r="G45" s="10" t="str">
        <f t="shared" ref="G45:G71" si="6">IF(M5=$M$34,"WIN",IF(M5=$M$35,"PLACE",IF(M5=$M$36,"SHOW","")))</f>
        <v/>
      </c>
      <c r="H45" s="10" t="str">
        <f t="shared" ref="H45:H71" si="7">IF(O5=$O$34,"WIN",IF(O5=$O$35,"PLACE",IF(O5=$O$36,"SHOW","")))</f>
        <v/>
      </c>
      <c r="I45" s="10" t="str">
        <f t="shared" ref="I45:I71" si="8">IF(Q5=$Q$34,"WIN",IF(Q5=$Q$35,"PLACE",IF(Q5=$Q$36,"SHOW","")))</f>
        <v>PLACE</v>
      </c>
      <c r="J45" s="10" t="str">
        <f t="shared" ref="J45:J71" si="9">IF(S5=$S$34,"WIN",IF(S5=$S$35,"PLACE",IF(S5=$S$36,"SHOW","")))</f>
        <v/>
      </c>
      <c r="L45">
        <f t="shared" ref="L45:L71" si="10">(COUNTIF($B45:$J45,"WIN"))</f>
        <v>1</v>
      </c>
      <c r="M45">
        <f t="shared" ref="M45:M71" si="11">(COUNTIF($B45:$J45,"PLACE"))</f>
        <v>2</v>
      </c>
      <c r="N45">
        <f t="shared" ref="N45:N71" si="12">(COUNTIF($B45:$J45,"SHOW"))</f>
        <v>0</v>
      </c>
      <c r="O45" s="24">
        <f t="shared" ref="O45:O71" si="13">SUM($U45:$AC45)</f>
        <v>56.089743589743584</v>
      </c>
      <c r="U45" s="23">
        <f t="shared" ref="U45:U71" si="14">IF($B45="WIN",$B$73,IF($B45="PLACE",$B$74,IF($B45="SHOW",$B$75,0)))</f>
        <v>26.923076923076923</v>
      </c>
      <c r="V45" s="23">
        <f t="shared" ref="V45:V71" si="15">IF($C45="WIN",$C$73,IF($C45="PLACE",$C$74,IF($C45="SHOW",$C$75,0)))</f>
        <v>0</v>
      </c>
      <c r="W45" s="23">
        <f t="shared" ref="W45:W71" si="16">IF($D45="WIN",$D$73,IF($D45="PLACE",$D$74,IF($D45="SHOW",$D$75,0)))</f>
        <v>25</v>
      </c>
      <c r="X45" s="23">
        <f t="shared" ref="X45:X71" si="17">IF($E45="WIN",$E$73,IF($E45="PLACE",$E$74,IF($E45="SHOW",$E$75,0)))</f>
        <v>0</v>
      </c>
      <c r="Y45" s="23">
        <f t="shared" ref="Y45:Y71" si="18">IF($F45="WIN",$F$73,IF($F45="PLACE",$F$74,IF($F45="SHOW",$F$75,0)))</f>
        <v>0</v>
      </c>
      <c r="Z45" s="23">
        <f t="shared" ref="Z45:Z70" si="19">IF($G45="WIN",$G$73,IF($G45="PLACE",$G$74,IF($G45="SHOW",$G$75,0)))</f>
        <v>0</v>
      </c>
      <c r="AA45" s="23">
        <f t="shared" ref="AA45:AA71" si="20">IF($H45="WIN",$H$73,IF($H45="PLACE",$H75,IF($H45="SHOW",$H$75,0)))</f>
        <v>0</v>
      </c>
      <c r="AB45" s="23">
        <f t="shared" ref="AB45:AB71" si="21">IF($I45="WIN",$I$73,IF($I45="PLACE",$I75,IF($I45="SHOW",$I$75,0)))</f>
        <v>4.166666666666667</v>
      </c>
      <c r="AC45" s="23">
        <f t="shared" ref="AC45:AC71" si="22">IF($J45="WIN",$J$73,IF($J45="PLACE",$J$74,IF($J45="SHOW",$J$75,0)))</f>
        <v>0</v>
      </c>
    </row>
    <row r="46" spans="1:29" ht="18.75" x14ac:dyDescent="0.25">
      <c r="A46" t="str">
        <f t="shared" si="0"/>
        <v>Andrew</v>
      </c>
      <c r="B46" s="9" t="str">
        <f t="shared" si="1"/>
        <v/>
      </c>
      <c r="C46" s="10" t="str">
        <f t="shared" si="2"/>
        <v/>
      </c>
      <c r="D46" s="10" t="str">
        <f t="shared" si="3"/>
        <v/>
      </c>
      <c r="E46" s="10" t="str">
        <f t="shared" si="4"/>
        <v/>
      </c>
      <c r="F46" s="10" t="str">
        <f t="shared" si="5"/>
        <v/>
      </c>
      <c r="G46" s="10" t="str">
        <f t="shared" si="6"/>
        <v/>
      </c>
      <c r="H46" s="10" t="str">
        <f t="shared" si="7"/>
        <v/>
      </c>
      <c r="I46" s="10" t="str">
        <f t="shared" si="8"/>
        <v/>
      </c>
      <c r="J46" s="10" t="str">
        <f t="shared" si="9"/>
        <v/>
      </c>
      <c r="L46">
        <f t="shared" si="10"/>
        <v>0</v>
      </c>
      <c r="M46">
        <f t="shared" si="11"/>
        <v>0</v>
      </c>
      <c r="N46">
        <f t="shared" si="12"/>
        <v>0</v>
      </c>
      <c r="O46" s="24">
        <f t="shared" si="13"/>
        <v>0</v>
      </c>
      <c r="U46" s="23">
        <f t="shared" si="14"/>
        <v>0</v>
      </c>
      <c r="V46" s="23">
        <f t="shared" si="15"/>
        <v>0</v>
      </c>
      <c r="W46" s="23">
        <f t="shared" si="16"/>
        <v>0</v>
      </c>
      <c r="X46" s="23">
        <f t="shared" si="17"/>
        <v>0</v>
      </c>
      <c r="Y46" s="23">
        <f t="shared" si="18"/>
        <v>0</v>
      </c>
      <c r="Z46" s="23">
        <f t="shared" si="19"/>
        <v>0</v>
      </c>
      <c r="AA46" s="23">
        <f t="shared" si="20"/>
        <v>0</v>
      </c>
      <c r="AB46" s="23">
        <f t="shared" si="21"/>
        <v>0</v>
      </c>
      <c r="AC46" s="23">
        <f t="shared" si="22"/>
        <v>0</v>
      </c>
    </row>
    <row r="47" spans="1:29" ht="18.75" x14ac:dyDescent="0.25">
      <c r="A47" t="str">
        <f t="shared" si="0"/>
        <v>Brent</v>
      </c>
      <c r="B47" s="9" t="str">
        <f t="shared" si="1"/>
        <v/>
      </c>
      <c r="C47" s="10" t="str">
        <f t="shared" si="2"/>
        <v/>
      </c>
      <c r="D47" s="10" t="str">
        <f t="shared" si="3"/>
        <v/>
      </c>
      <c r="E47" s="10" t="str">
        <f t="shared" si="4"/>
        <v>PLACE</v>
      </c>
      <c r="F47" s="10" t="str">
        <f t="shared" si="5"/>
        <v>SHOW</v>
      </c>
      <c r="G47" s="10" t="str">
        <f t="shared" si="6"/>
        <v/>
      </c>
      <c r="H47" s="10" t="str">
        <f t="shared" si="7"/>
        <v>WIN</v>
      </c>
      <c r="I47" s="10" t="str">
        <f t="shared" si="8"/>
        <v/>
      </c>
      <c r="J47" s="10" t="str">
        <f t="shared" si="9"/>
        <v/>
      </c>
      <c r="L47">
        <f t="shared" si="10"/>
        <v>1</v>
      </c>
      <c r="M47">
        <f t="shared" si="11"/>
        <v>1</v>
      </c>
      <c r="N47">
        <f t="shared" si="12"/>
        <v>1</v>
      </c>
      <c r="O47" s="24">
        <f t="shared" si="13"/>
        <v>48.40874811463047</v>
      </c>
      <c r="U47" s="23">
        <f t="shared" si="14"/>
        <v>0</v>
      </c>
      <c r="V47" s="23">
        <f t="shared" si="15"/>
        <v>0</v>
      </c>
      <c r="W47" s="23">
        <f t="shared" si="16"/>
        <v>0</v>
      </c>
      <c r="X47" s="23">
        <f t="shared" si="17"/>
        <v>23.333333333333332</v>
      </c>
      <c r="Y47" s="23">
        <f t="shared" si="18"/>
        <v>4.4871794871794872</v>
      </c>
      <c r="Z47" s="23">
        <f t="shared" si="19"/>
        <v>0</v>
      </c>
      <c r="AA47" s="23">
        <f t="shared" si="20"/>
        <v>20.588235294117649</v>
      </c>
      <c r="AB47" s="23">
        <f t="shared" si="21"/>
        <v>0</v>
      </c>
      <c r="AC47" s="23">
        <f t="shared" si="22"/>
        <v>0</v>
      </c>
    </row>
    <row r="48" spans="1:29" ht="18.75" x14ac:dyDescent="0.25">
      <c r="A48" t="str">
        <f t="shared" si="0"/>
        <v xml:space="preserve">Elizabeth </v>
      </c>
      <c r="B48" s="9" t="str">
        <f t="shared" si="1"/>
        <v>PLACE</v>
      </c>
      <c r="C48" s="10" t="str">
        <f t="shared" si="2"/>
        <v/>
      </c>
      <c r="D48" s="10" t="str">
        <f t="shared" si="3"/>
        <v/>
      </c>
      <c r="E48" s="10" t="str">
        <f t="shared" si="4"/>
        <v/>
      </c>
      <c r="F48" s="10" t="str">
        <f t="shared" si="5"/>
        <v>PLACE</v>
      </c>
      <c r="G48" s="10" t="str">
        <f t="shared" si="6"/>
        <v/>
      </c>
      <c r="H48" s="10" t="str">
        <f t="shared" si="7"/>
        <v/>
      </c>
      <c r="I48" s="10" t="str">
        <f t="shared" si="8"/>
        <v/>
      </c>
      <c r="J48" s="10" t="str">
        <f t="shared" si="9"/>
        <v/>
      </c>
      <c r="L48">
        <f t="shared" si="10"/>
        <v>0</v>
      </c>
      <c r="M48">
        <f t="shared" si="11"/>
        <v>2</v>
      </c>
      <c r="N48">
        <f t="shared" si="12"/>
        <v>0</v>
      </c>
      <c r="O48" s="24">
        <f t="shared" si="13"/>
        <v>26.923076923076923</v>
      </c>
      <c r="U48" s="23">
        <f t="shared" si="14"/>
        <v>13.461538461538462</v>
      </c>
      <c r="V48" s="23">
        <f t="shared" si="15"/>
        <v>0</v>
      </c>
      <c r="W48" s="23">
        <f t="shared" si="16"/>
        <v>0</v>
      </c>
      <c r="X48" s="23">
        <f t="shared" si="17"/>
        <v>0</v>
      </c>
      <c r="Y48" s="23">
        <f t="shared" si="18"/>
        <v>13.461538461538462</v>
      </c>
      <c r="Z48" s="23">
        <f t="shared" si="19"/>
        <v>0</v>
      </c>
      <c r="AA48" s="23">
        <f t="shared" si="20"/>
        <v>0</v>
      </c>
      <c r="AB48" s="23">
        <f t="shared" si="21"/>
        <v>0</v>
      </c>
      <c r="AC48" s="23">
        <f t="shared" si="22"/>
        <v>0</v>
      </c>
    </row>
    <row r="49" spans="1:29" ht="18.75" x14ac:dyDescent="0.25">
      <c r="A49" t="str">
        <f t="shared" si="0"/>
        <v>Jakki</v>
      </c>
      <c r="B49" s="9" t="str">
        <f t="shared" si="1"/>
        <v/>
      </c>
      <c r="C49" s="10" t="str">
        <f t="shared" si="2"/>
        <v/>
      </c>
      <c r="D49" s="10" t="str">
        <f t="shared" si="3"/>
        <v>SHOW</v>
      </c>
      <c r="E49" s="10" t="str">
        <f t="shared" si="4"/>
        <v/>
      </c>
      <c r="F49" s="10" t="str">
        <f t="shared" si="5"/>
        <v>PLACE</v>
      </c>
      <c r="G49" s="10" t="str">
        <f t="shared" si="6"/>
        <v>PLACE</v>
      </c>
      <c r="H49" s="10" t="str">
        <f t="shared" si="7"/>
        <v/>
      </c>
      <c r="I49" s="10" t="str">
        <f t="shared" si="8"/>
        <v/>
      </c>
      <c r="J49" s="10" t="str">
        <f t="shared" si="9"/>
        <v/>
      </c>
      <c r="L49">
        <f t="shared" si="10"/>
        <v>0</v>
      </c>
      <c r="M49">
        <f t="shared" si="11"/>
        <v>2</v>
      </c>
      <c r="N49">
        <f t="shared" si="12"/>
        <v>1</v>
      </c>
      <c r="O49" s="24">
        <f t="shared" si="13"/>
        <v>40.215924426450741</v>
      </c>
      <c r="U49" s="23">
        <f t="shared" si="14"/>
        <v>0</v>
      </c>
      <c r="V49" s="23">
        <f t="shared" si="15"/>
        <v>0</v>
      </c>
      <c r="W49" s="23">
        <f t="shared" si="16"/>
        <v>8.3333333333333339</v>
      </c>
      <c r="X49" s="23">
        <f t="shared" si="17"/>
        <v>0</v>
      </c>
      <c r="Y49" s="23">
        <f t="shared" si="18"/>
        <v>13.461538461538462</v>
      </c>
      <c r="Z49" s="23">
        <f t="shared" si="19"/>
        <v>18.421052631578949</v>
      </c>
      <c r="AA49" s="23">
        <f t="shared" si="20"/>
        <v>0</v>
      </c>
      <c r="AB49" s="23">
        <f t="shared" si="21"/>
        <v>0</v>
      </c>
      <c r="AC49" s="23">
        <f t="shared" si="22"/>
        <v>0</v>
      </c>
    </row>
    <row r="50" spans="1:29" ht="18.75" x14ac:dyDescent="0.25">
      <c r="A50" t="str">
        <f t="shared" si="0"/>
        <v>James</v>
      </c>
      <c r="B50" s="9" t="str">
        <f t="shared" si="1"/>
        <v/>
      </c>
      <c r="C50" s="10" t="str">
        <f t="shared" si="2"/>
        <v/>
      </c>
      <c r="D50" s="10" t="str">
        <f t="shared" si="3"/>
        <v>PLACE</v>
      </c>
      <c r="E50" s="10" t="str">
        <f t="shared" si="4"/>
        <v/>
      </c>
      <c r="F50" s="10" t="str">
        <f t="shared" si="5"/>
        <v/>
      </c>
      <c r="G50" s="10" t="str">
        <f t="shared" si="6"/>
        <v>WIN</v>
      </c>
      <c r="H50" s="10" t="str">
        <f t="shared" si="7"/>
        <v>PLACE</v>
      </c>
      <c r="I50" s="10" t="str">
        <f t="shared" si="8"/>
        <v/>
      </c>
      <c r="J50" s="10" t="str">
        <f t="shared" si="9"/>
        <v>PLACE</v>
      </c>
      <c r="L50">
        <f t="shared" si="10"/>
        <v>1</v>
      </c>
      <c r="M50">
        <f t="shared" si="11"/>
        <v>3</v>
      </c>
      <c r="N50">
        <f t="shared" si="12"/>
        <v>0</v>
      </c>
      <c r="O50" s="24">
        <f t="shared" si="13"/>
        <v>83.34210526315789</v>
      </c>
      <c r="U50" s="23">
        <f t="shared" si="14"/>
        <v>0</v>
      </c>
      <c r="V50" s="23">
        <f t="shared" si="15"/>
        <v>0</v>
      </c>
      <c r="W50" s="23">
        <f t="shared" si="16"/>
        <v>25</v>
      </c>
      <c r="X50" s="23">
        <f t="shared" si="17"/>
        <v>0</v>
      </c>
      <c r="Y50" s="23">
        <f t="shared" si="18"/>
        <v>0</v>
      </c>
      <c r="Z50" s="23">
        <f t="shared" si="19"/>
        <v>36.842105263157897</v>
      </c>
      <c r="AA50" s="23">
        <f t="shared" si="20"/>
        <v>9</v>
      </c>
      <c r="AB50" s="23">
        <f t="shared" si="21"/>
        <v>0</v>
      </c>
      <c r="AC50" s="23">
        <f t="shared" si="22"/>
        <v>12.5</v>
      </c>
    </row>
    <row r="51" spans="1:29" ht="18.75" x14ac:dyDescent="0.25">
      <c r="A51" t="str">
        <f t="shared" si="0"/>
        <v xml:space="preserve">Jamie </v>
      </c>
      <c r="B51" s="9" t="str">
        <f t="shared" si="1"/>
        <v/>
      </c>
      <c r="C51" s="10" t="str">
        <f t="shared" si="2"/>
        <v>SHOW</v>
      </c>
      <c r="D51" s="10" t="str">
        <f t="shared" si="3"/>
        <v/>
      </c>
      <c r="E51" s="10" t="str">
        <f t="shared" si="4"/>
        <v/>
      </c>
      <c r="F51" s="10" t="str">
        <f t="shared" si="5"/>
        <v>PLACE</v>
      </c>
      <c r="G51" s="10" t="str">
        <f t="shared" si="6"/>
        <v>WIN</v>
      </c>
      <c r="H51" s="10" t="str">
        <f t="shared" si="7"/>
        <v/>
      </c>
      <c r="I51" s="10" t="str">
        <f t="shared" si="8"/>
        <v/>
      </c>
      <c r="J51" s="10" t="str">
        <f t="shared" si="9"/>
        <v>SHOW</v>
      </c>
      <c r="L51">
        <f t="shared" si="10"/>
        <v>1</v>
      </c>
      <c r="M51">
        <f t="shared" si="11"/>
        <v>1</v>
      </c>
      <c r="N51">
        <f t="shared" si="12"/>
        <v>2</v>
      </c>
      <c r="O51" s="24">
        <f t="shared" si="13"/>
        <v>69.053643724696357</v>
      </c>
      <c r="U51" s="23">
        <f t="shared" si="14"/>
        <v>0</v>
      </c>
      <c r="V51" s="23">
        <f t="shared" si="15"/>
        <v>14.583333333333334</v>
      </c>
      <c r="W51" s="23">
        <f t="shared" si="16"/>
        <v>0</v>
      </c>
      <c r="X51" s="23">
        <f t="shared" si="17"/>
        <v>0</v>
      </c>
      <c r="Y51" s="23">
        <f t="shared" si="18"/>
        <v>13.461538461538462</v>
      </c>
      <c r="Z51" s="23">
        <f t="shared" si="19"/>
        <v>36.842105263157897</v>
      </c>
      <c r="AA51" s="23">
        <f t="shared" si="20"/>
        <v>0</v>
      </c>
      <c r="AB51" s="23">
        <f t="shared" si="21"/>
        <v>0</v>
      </c>
      <c r="AC51" s="23">
        <f t="shared" si="22"/>
        <v>4.166666666666667</v>
      </c>
    </row>
    <row r="52" spans="1:29" ht="18.75" x14ac:dyDescent="0.25">
      <c r="A52" t="str">
        <f t="shared" si="0"/>
        <v>Kyla</v>
      </c>
      <c r="B52" s="9" t="str">
        <f t="shared" si="1"/>
        <v/>
      </c>
      <c r="C52" s="10" t="str">
        <f t="shared" si="2"/>
        <v/>
      </c>
      <c r="D52" s="10" t="str">
        <f t="shared" si="3"/>
        <v>PLACE</v>
      </c>
      <c r="E52" s="10" t="str">
        <f t="shared" si="4"/>
        <v>WIN</v>
      </c>
      <c r="F52" s="10" t="str">
        <f t="shared" si="5"/>
        <v/>
      </c>
      <c r="G52" s="10" t="str">
        <f t="shared" si="6"/>
        <v/>
      </c>
      <c r="H52" s="10" t="str">
        <f t="shared" si="7"/>
        <v/>
      </c>
      <c r="I52" s="10" t="str">
        <f t="shared" si="8"/>
        <v>WIN</v>
      </c>
      <c r="J52" s="10" t="str">
        <f t="shared" si="9"/>
        <v/>
      </c>
      <c r="L52">
        <f t="shared" si="10"/>
        <v>2</v>
      </c>
      <c r="M52">
        <f t="shared" si="11"/>
        <v>1</v>
      </c>
      <c r="N52">
        <f t="shared" si="12"/>
        <v>0</v>
      </c>
      <c r="O52" s="24">
        <f t="shared" si="13"/>
        <v>96.666666666666657</v>
      </c>
      <c r="U52" s="23">
        <f t="shared" si="14"/>
        <v>0</v>
      </c>
      <c r="V52" s="23">
        <f t="shared" si="15"/>
        <v>0</v>
      </c>
      <c r="W52" s="23">
        <f t="shared" si="16"/>
        <v>25</v>
      </c>
      <c r="X52" s="23">
        <f t="shared" si="17"/>
        <v>46.666666666666664</v>
      </c>
      <c r="Y52" s="23">
        <f t="shared" si="18"/>
        <v>0</v>
      </c>
      <c r="Z52" s="23">
        <f t="shared" si="19"/>
        <v>0</v>
      </c>
      <c r="AA52" s="23">
        <f t="shared" si="20"/>
        <v>0</v>
      </c>
      <c r="AB52" s="23">
        <f t="shared" si="21"/>
        <v>25</v>
      </c>
      <c r="AC52" s="23">
        <f t="shared" si="22"/>
        <v>0</v>
      </c>
    </row>
    <row r="53" spans="1:29" ht="18.75" x14ac:dyDescent="0.25">
      <c r="A53" t="str">
        <f t="shared" si="0"/>
        <v>Marie-Claire</v>
      </c>
      <c r="B53" s="9" t="str">
        <f t="shared" si="1"/>
        <v/>
      </c>
      <c r="C53" s="10" t="str">
        <f t="shared" si="2"/>
        <v/>
      </c>
      <c r="D53" s="10" t="str">
        <f t="shared" si="3"/>
        <v/>
      </c>
      <c r="E53" s="10" t="str">
        <f t="shared" si="4"/>
        <v/>
      </c>
      <c r="F53" s="10" t="str">
        <f t="shared" si="5"/>
        <v/>
      </c>
      <c r="G53" s="10" t="str">
        <f t="shared" si="6"/>
        <v/>
      </c>
      <c r="H53" s="10" t="str">
        <f t="shared" si="7"/>
        <v>PLACE</v>
      </c>
      <c r="I53" s="10" t="str">
        <f t="shared" si="8"/>
        <v/>
      </c>
      <c r="J53" s="10" t="str">
        <f t="shared" si="9"/>
        <v/>
      </c>
      <c r="L53">
        <f t="shared" si="10"/>
        <v>0</v>
      </c>
      <c r="M53">
        <f t="shared" si="11"/>
        <v>1</v>
      </c>
      <c r="N53">
        <f t="shared" si="12"/>
        <v>0</v>
      </c>
      <c r="O53" s="24">
        <f t="shared" si="13"/>
        <v>116.66666666666667</v>
      </c>
      <c r="U53" s="23">
        <f t="shared" si="14"/>
        <v>0</v>
      </c>
      <c r="V53" s="23">
        <f t="shared" si="15"/>
        <v>0</v>
      </c>
      <c r="W53" s="23">
        <f t="shared" si="16"/>
        <v>0</v>
      </c>
      <c r="X53" s="23">
        <f t="shared" si="17"/>
        <v>0</v>
      </c>
      <c r="Y53" s="23">
        <f t="shared" si="18"/>
        <v>0</v>
      </c>
      <c r="Z53" s="23">
        <f t="shared" si="19"/>
        <v>0</v>
      </c>
      <c r="AA53" s="23">
        <f t="shared" si="20"/>
        <v>116.66666666666667</v>
      </c>
      <c r="AB53" s="23">
        <f t="shared" si="21"/>
        <v>0</v>
      </c>
      <c r="AC53" s="23">
        <f t="shared" si="22"/>
        <v>0</v>
      </c>
    </row>
    <row r="54" spans="1:29" ht="18.75" x14ac:dyDescent="0.25">
      <c r="A54" t="str">
        <f t="shared" si="0"/>
        <v>Mike</v>
      </c>
      <c r="B54" s="9" t="str">
        <f t="shared" si="1"/>
        <v/>
      </c>
      <c r="C54" s="10" t="str">
        <f t="shared" si="2"/>
        <v/>
      </c>
      <c r="D54" s="10" t="str">
        <f t="shared" si="3"/>
        <v/>
      </c>
      <c r="E54" s="10" t="str">
        <f t="shared" si="4"/>
        <v/>
      </c>
      <c r="F54" s="10" t="str">
        <f t="shared" si="5"/>
        <v/>
      </c>
      <c r="G54" s="10" t="str">
        <f t="shared" si="6"/>
        <v/>
      </c>
      <c r="H54" s="10" t="str">
        <f t="shared" si="7"/>
        <v/>
      </c>
      <c r="I54" s="10" t="str">
        <f t="shared" si="8"/>
        <v>WIN</v>
      </c>
      <c r="J54" s="10" t="str">
        <f t="shared" si="9"/>
        <v/>
      </c>
      <c r="L54">
        <f t="shared" si="10"/>
        <v>1</v>
      </c>
      <c r="M54">
        <f t="shared" si="11"/>
        <v>0</v>
      </c>
      <c r="N54">
        <f t="shared" si="12"/>
        <v>0</v>
      </c>
      <c r="O54" s="24">
        <f t="shared" si="13"/>
        <v>25</v>
      </c>
      <c r="U54" s="23">
        <f t="shared" si="14"/>
        <v>0</v>
      </c>
      <c r="V54" s="23">
        <f t="shared" si="15"/>
        <v>0</v>
      </c>
      <c r="W54" s="23">
        <f t="shared" si="16"/>
        <v>0</v>
      </c>
      <c r="X54" s="23">
        <f t="shared" si="17"/>
        <v>0</v>
      </c>
      <c r="Y54" s="23">
        <f t="shared" si="18"/>
        <v>0</v>
      </c>
      <c r="Z54" s="23">
        <f t="shared" si="19"/>
        <v>0</v>
      </c>
      <c r="AA54" s="23">
        <f t="shared" si="20"/>
        <v>0</v>
      </c>
      <c r="AB54" s="23">
        <f t="shared" si="21"/>
        <v>25</v>
      </c>
      <c r="AC54" s="23">
        <f t="shared" si="22"/>
        <v>0</v>
      </c>
    </row>
    <row r="55" spans="1:29" ht="18.75" x14ac:dyDescent="0.25">
      <c r="A55" t="str">
        <f t="shared" si="0"/>
        <v>Natalie</v>
      </c>
      <c r="B55" s="9" t="str">
        <f t="shared" si="1"/>
        <v/>
      </c>
      <c r="C55" s="10" t="str">
        <f t="shared" si="2"/>
        <v/>
      </c>
      <c r="D55" s="10" t="str">
        <f t="shared" si="3"/>
        <v/>
      </c>
      <c r="E55" s="10" t="str">
        <f t="shared" si="4"/>
        <v/>
      </c>
      <c r="F55" s="10" t="str">
        <f t="shared" si="5"/>
        <v>SHOW</v>
      </c>
      <c r="G55" s="10" t="str">
        <f t="shared" si="6"/>
        <v/>
      </c>
      <c r="H55" s="10" t="str">
        <f t="shared" si="7"/>
        <v/>
      </c>
      <c r="I55" s="10" t="str">
        <f t="shared" si="8"/>
        <v/>
      </c>
      <c r="J55" s="10" t="str">
        <f t="shared" si="9"/>
        <v/>
      </c>
      <c r="L55">
        <f t="shared" si="10"/>
        <v>0</v>
      </c>
      <c r="M55">
        <f t="shared" si="11"/>
        <v>0</v>
      </c>
      <c r="N55">
        <f t="shared" si="12"/>
        <v>1</v>
      </c>
      <c r="O55" s="24">
        <f t="shared" si="13"/>
        <v>4.4871794871794872</v>
      </c>
      <c r="U55" s="23">
        <f t="shared" si="14"/>
        <v>0</v>
      </c>
      <c r="V55" s="23">
        <f t="shared" si="15"/>
        <v>0</v>
      </c>
      <c r="W55" s="23">
        <f t="shared" si="16"/>
        <v>0</v>
      </c>
      <c r="X55" s="23">
        <f t="shared" si="17"/>
        <v>0</v>
      </c>
      <c r="Y55" s="23">
        <f t="shared" si="18"/>
        <v>4.4871794871794872</v>
      </c>
      <c r="Z55" s="23">
        <f t="shared" si="19"/>
        <v>0</v>
      </c>
      <c r="AA55" s="23">
        <f t="shared" si="20"/>
        <v>0</v>
      </c>
      <c r="AB55" s="23">
        <f t="shared" si="21"/>
        <v>0</v>
      </c>
      <c r="AC55" s="23">
        <f t="shared" si="22"/>
        <v>0</v>
      </c>
    </row>
    <row r="56" spans="1:29" ht="18.75" x14ac:dyDescent="0.25">
      <c r="A56" t="str">
        <f t="shared" si="0"/>
        <v>Liv</v>
      </c>
      <c r="B56" s="9" t="str">
        <f t="shared" si="1"/>
        <v>SHOW</v>
      </c>
      <c r="C56" s="10" t="str">
        <f t="shared" si="2"/>
        <v>PLACE</v>
      </c>
      <c r="D56" s="10" t="str">
        <f t="shared" si="3"/>
        <v/>
      </c>
      <c r="E56" s="10" t="str">
        <f t="shared" si="4"/>
        <v/>
      </c>
      <c r="F56" s="10" t="str">
        <f t="shared" si="5"/>
        <v/>
      </c>
      <c r="G56" s="10" t="str">
        <f t="shared" si="6"/>
        <v/>
      </c>
      <c r="H56" s="10" t="str">
        <f t="shared" si="7"/>
        <v>PLACE</v>
      </c>
      <c r="I56" s="10" t="str">
        <f t="shared" si="8"/>
        <v>PLACE</v>
      </c>
      <c r="J56" s="10" t="str">
        <f t="shared" si="9"/>
        <v/>
      </c>
      <c r="L56">
        <f t="shared" si="10"/>
        <v>0</v>
      </c>
      <c r="M56">
        <f t="shared" si="11"/>
        <v>3</v>
      </c>
      <c r="N56">
        <f t="shared" si="12"/>
        <v>1</v>
      </c>
      <c r="O56" s="24">
        <f t="shared" si="13"/>
        <v>48.237179487179489</v>
      </c>
      <c r="U56" s="23">
        <f t="shared" si="14"/>
        <v>4.4871794871794872</v>
      </c>
      <c r="V56" s="23">
        <f t="shared" si="15"/>
        <v>43.75</v>
      </c>
      <c r="W56" s="23">
        <f t="shared" si="16"/>
        <v>0</v>
      </c>
      <c r="X56" s="23">
        <f t="shared" si="17"/>
        <v>0</v>
      </c>
      <c r="Y56" s="23">
        <f t="shared" si="18"/>
        <v>0</v>
      </c>
      <c r="Z56" s="23">
        <f t="shared" si="19"/>
        <v>0</v>
      </c>
      <c r="AA56" s="23">
        <f t="shared" si="20"/>
        <v>0</v>
      </c>
      <c r="AB56" s="23">
        <f t="shared" si="21"/>
        <v>0</v>
      </c>
      <c r="AC56" s="23">
        <f t="shared" si="22"/>
        <v>0</v>
      </c>
    </row>
    <row r="57" spans="1:29" ht="18.75" x14ac:dyDescent="0.25">
      <c r="A57" t="str">
        <f t="shared" si="0"/>
        <v>Gurnie</v>
      </c>
      <c r="B57" s="9" t="str">
        <f t="shared" si="1"/>
        <v/>
      </c>
      <c r="C57" s="10" t="str">
        <f t="shared" si="2"/>
        <v/>
      </c>
      <c r="D57" s="10" t="str">
        <f t="shared" si="3"/>
        <v/>
      </c>
      <c r="E57" s="10" t="str">
        <f t="shared" si="4"/>
        <v/>
      </c>
      <c r="F57" s="10" t="str">
        <f t="shared" si="5"/>
        <v>SHOW</v>
      </c>
      <c r="G57" s="10" t="str">
        <f t="shared" si="6"/>
        <v/>
      </c>
      <c r="H57" s="10" t="str">
        <f t="shared" si="7"/>
        <v>WIN</v>
      </c>
      <c r="I57" s="10" t="str">
        <f t="shared" si="8"/>
        <v/>
      </c>
      <c r="J57" s="10" t="str">
        <f t="shared" si="9"/>
        <v>PLACE</v>
      </c>
      <c r="L57">
        <f t="shared" si="10"/>
        <v>1</v>
      </c>
      <c r="M57">
        <f t="shared" si="11"/>
        <v>1</v>
      </c>
      <c r="N57">
        <f t="shared" si="12"/>
        <v>1</v>
      </c>
      <c r="O57" s="24">
        <f t="shared" si="13"/>
        <v>37.575414781297134</v>
      </c>
      <c r="U57" s="23">
        <f t="shared" si="14"/>
        <v>0</v>
      </c>
      <c r="V57" s="23">
        <f t="shared" si="15"/>
        <v>0</v>
      </c>
      <c r="W57" s="23">
        <f t="shared" si="16"/>
        <v>0</v>
      </c>
      <c r="X57" s="23">
        <f t="shared" si="17"/>
        <v>0</v>
      </c>
      <c r="Y57" s="23">
        <f t="shared" si="18"/>
        <v>4.4871794871794872</v>
      </c>
      <c r="Z57" s="23">
        <f t="shared" si="19"/>
        <v>0</v>
      </c>
      <c r="AA57" s="23">
        <f t="shared" si="20"/>
        <v>20.588235294117649</v>
      </c>
      <c r="AB57" s="23">
        <f t="shared" si="21"/>
        <v>0</v>
      </c>
      <c r="AC57" s="23">
        <f t="shared" si="22"/>
        <v>12.5</v>
      </c>
    </row>
    <row r="58" spans="1:29" ht="18.75" x14ac:dyDescent="0.25">
      <c r="A58" t="str">
        <f t="shared" si="0"/>
        <v>Ella</v>
      </c>
      <c r="B58" s="9" t="str">
        <f t="shared" si="1"/>
        <v/>
      </c>
      <c r="C58" s="10" t="str">
        <f t="shared" si="2"/>
        <v/>
      </c>
      <c r="D58" s="10" t="str">
        <f t="shared" si="3"/>
        <v/>
      </c>
      <c r="E58" s="10" t="str">
        <f t="shared" si="4"/>
        <v/>
      </c>
      <c r="F58" s="10" t="str">
        <f t="shared" si="5"/>
        <v>SHOW</v>
      </c>
      <c r="G58" s="10" t="str">
        <f t="shared" si="6"/>
        <v/>
      </c>
      <c r="H58" s="10" t="str">
        <f t="shared" si="7"/>
        <v/>
      </c>
      <c r="I58" s="10" t="str">
        <f t="shared" si="8"/>
        <v/>
      </c>
      <c r="J58" s="10" t="str">
        <f t="shared" si="9"/>
        <v/>
      </c>
      <c r="L58">
        <f t="shared" si="10"/>
        <v>0</v>
      </c>
      <c r="M58">
        <f t="shared" si="11"/>
        <v>0</v>
      </c>
      <c r="N58">
        <f t="shared" si="12"/>
        <v>1</v>
      </c>
      <c r="O58" s="24">
        <f t="shared" si="13"/>
        <v>4.4871794871794872</v>
      </c>
      <c r="U58" s="23">
        <f t="shared" si="14"/>
        <v>0</v>
      </c>
      <c r="V58" s="23">
        <f t="shared" si="15"/>
        <v>0</v>
      </c>
      <c r="W58" s="23">
        <f t="shared" si="16"/>
        <v>0</v>
      </c>
      <c r="X58" s="23">
        <f t="shared" si="17"/>
        <v>0</v>
      </c>
      <c r="Y58" s="23">
        <f t="shared" si="18"/>
        <v>4.4871794871794872</v>
      </c>
      <c r="Z58" s="23">
        <f t="shared" si="19"/>
        <v>0</v>
      </c>
      <c r="AA58" s="23">
        <f t="shared" si="20"/>
        <v>0</v>
      </c>
      <c r="AB58" s="23">
        <f t="shared" si="21"/>
        <v>0</v>
      </c>
      <c r="AC58" s="23">
        <f t="shared" si="22"/>
        <v>0</v>
      </c>
    </row>
    <row r="59" spans="1:29" ht="18.75" x14ac:dyDescent="0.25">
      <c r="A59" t="str">
        <f t="shared" si="0"/>
        <v>Shannon</v>
      </c>
      <c r="B59" s="9" t="str">
        <f t="shared" si="1"/>
        <v/>
      </c>
      <c r="C59" s="10" t="str">
        <f t="shared" si="2"/>
        <v/>
      </c>
      <c r="D59" s="10" t="str">
        <f t="shared" si="3"/>
        <v/>
      </c>
      <c r="E59" s="10" t="str">
        <f t="shared" si="4"/>
        <v/>
      </c>
      <c r="F59" s="10" t="str">
        <f t="shared" si="5"/>
        <v/>
      </c>
      <c r="G59" s="10" t="str">
        <f t="shared" si="6"/>
        <v/>
      </c>
      <c r="H59" s="10" t="str">
        <f t="shared" si="7"/>
        <v/>
      </c>
      <c r="I59" s="10" t="str">
        <f t="shared" si="8"/>
        <v>PLACE</v>
      </c>
      <c r="J59" s="10" t="str">
        <f t="shared" si="9"/>
        <v/>
      </c>
      <c r="L59">
        <f t="shared" si="10"/>
        <v>0</v>
      </c>
      <c r="M59">
        <f t="shared" si="11"/>
        <v>1</v>
      </c>
      <c r="N59">
        <f t="shared" si="12"/>
        <v>0</v>
      </c>
      <c r="O59" s="24">
        <f t="shared" si="13"/>
        <v>0</v>
      </c>
      <c r="U59" s="23">
        <f t="shared" si="14"/>
        <v>0</v>
      </c>
      <c r="V59" s="23">
        <f t="shared" si="15"/>
        <v>0</v>
      </c>
      <c r="W59" s="23">
        <f t="shared" si="16"/>
        <v>0</v>
      </c>
      <c r="X59" s="23">
        <f t="shared" si="17"/>
        <v>0</v>
      </c>
      <c r="Y59" s="23">
        <f t="shared" si="18"/>
        <v>0</v>
      </c>
      <c r="Z59" s="23">
        <f t="shared" si="19"/>
        <v>0</v>
      </c>
      <c r="AA59" s="23">
        <f t="shared" si="20"/>
        <v>0</v>
      </c>
      <c r="AB59" s="23">
        <f t="shared" si="21"/>
        <v>0</v>
      </c>
      <c r="AC59" s="23">
        <f t="shared" si="22"/>
        <v>0</v>
      </c>
    </row>
    <row r="60" spans="1:29" ht="18.75" x14ac:dyDescent="0.25">
      <c r="A60" t="str">
        <f t="shared" si="0"/>
        <v>Greg</v>
      </c>
      <c r="B60" s="9" t="str">
        <f t="shared" si="1"/>
        <v/>
      </c>
      <c r="C60" s="10" t="str">
        <f t="shared" si="2"/>
        <v/>
      </c>
      <c r="D60" s="10" t="str">
        <f t="shared" si="3"/>
        <v/>
      </c>
      <c r="E60" s="10" t="str">
        <f t="shared" si="4"/>
        <v/>
      </c>
      <c r="F60" s="10" t="str">
        <f t="shared" si="5"/>
        <v/>
      </c>
      <c r="G60" s="10" t="str">
        <f t="shared" si="6"/>
        <v/>
      </c>
      <c r="H60" s="10" t="str">
        <f t="shared" si="7"/>
        <v>PLACE</v>
      </c>
      <c r="I60" s="10" t="str">
        <f t="shared" si="8"/>
        <v/>
      </c>
      <c r="J60" s="10" t="str">
        <f t="shared" si="9"/>
        <v/>
      </c>
      <c r="L60">
        <f t="shared" si="10"/>
        <v>0</v>
      </c>
      <c r="M60">
        <f t="shared" si="11"/>
        <v>1</v>
      </c>
      <c r="N60">
        <f t="shared" si="12"/>
        <v>0</v>
      </c>
      <c r="O60" s="24">
        <f t="shared" si="13"/>
        <v>0</v>
      </c>
      <c r="U60" s="23">
        <f t="shared" si="14"/>
        <v>0</v>
      </c>
      <c r="V60" s="23">
        <f t="shared" si="15"/>
        <v>0</v>
      </c>
      <c r="W60" s="23">
        <f t="shared" si="16"/>
        <v>0</v>
      </c>
      <c r="X60" s="23">
        <f t="shared" si="17"/>
        <v>0</v>
      </c>
      <c r="Y60" s="23">
        <f t="shared" si="18"/>
        <v>0</v>
      </c>
      <c r="Z60" s="23">
        <f t="shared" si="19"/>
        <v>0</v>
      </c>
      <c r="AA60" s="23">
        <f t="shared" si="20"/>
        <v>0</v>
      </c>
      <c r="AB60" s="23">
        <f t="shared" si="21"/>
        <v>0</v>
      </c>
      <c r="AC60" s="23">
        <f t="shared" si="22"/>
        <v>0</v>
      </c>
    </row>
    <row r="61" spans="1:29" ht="18.75" x14ac:dyDescent="0.25">
      <c r="A61" t="str">
        <f t="shared" si="0"/>
        <v>Phil</v>
      </c>
      <c r="B61" s="9" t="str">
        <f t="shared" si="1"/>
        <v/>
      </c>
      <c r="C61" s="10" t="str">
        <f t="shared" si="2"/>
        <v/>
      </c>
      <c r="D61" s="10" t="str">
        <f t="shared" si="3"/>
        <v/>
      </c>
      <c r="E61" s="10" t="str">
        <f t="shared" si="4"/>
        <v/>
      </c>
      <c r="F61" s="10" t="str">
        <f t="shared" si="5"/>
        <v>SHOW</v>
      </c>
      <c r="G61" s="10" t="str">
        <f t="shared" si="6"/>
        <v/>
      </c>
      <c r="H61" s="10" t="str">
        <f t="shared" si="7"/>
        <v/>
      </c>
      <c r="I61" s="10" t="str">
        <f t="shared" si="8"/>
        <v/>
      </c>
      <c r="J61" s="10" t="str">
        <f t="shared" si="9"/>
        <v>WIN</v>
      </c>
      <c r="L61">
        <f t="shared" si="10"/>
        <v>1</v>
      </c>
      <c r="M61">
        <f t="shared" si="11"/>
        <v>0</v>
      </c>
      <c r="N61">
        <f t="shared" si="12"/>
        <v>1</v>
      </c>
      <c r="O61" s="24">
        <f t="shared" si="13"/>
        <v>29.487179487179489</v>
      </c>
      <c r="U61" s="23">
        <f t="shared" si="14"/>
        <v>0</v>
      </c>
      <c r="V61" s="23">
        <f t="shared" si="15"/>
        <v>0</v>
      </c>
      <c r="W61" s="23">
        <f t="shared" si="16"/>
        <v>0</v>
      </c>
      <c r="X61" s="23">
        <f t="shared" si="17"/>
        <v>0</v>
      </c>
      <c r="Y61" s="23">
        <f t="shared" si="18"/>
        <v>4.4871794871794872</v>
      </c>
      <c r="Z61" s="23">
        <f t="shared" si="19"/>
        <v>0</v>
      </c>
      <c r="AA61" s="23">
        <f t="shared" si="20"/>
        <v>0</v>
      </c>
      <c r="AB61" s="23">
        <f t="shared" si="21"/>
        <v>0</v>
      </c>
      <c r="AC61" s="23">
        <f t="shared" si="22"/>
        <v>25</v>
      </c>
    </row>
    <row r="62" spans="1:29" ht="18.75" x14ac:dyDescent="0.25">
      <c r="A62" t="str">
        <f t="shared" si="0"/>
        <v>Ivy</v>
      </c>
      <c r="B62" s="9" t="str">
        <f t="shared" si="1"/>
        <v/>
      </c>
      <c r="C62" s="10" t="str">
        <f t="shared" si="2"/>
        <v/>
      </c>
      <c r="D62" s="10" t="str">
        <f t="shared" si="3"/>
        <v/>
      </c>
      <c r="E62" s="10" t="str">
        <f t="shared" si="4"/>
        <v/>
      </c>
      <c r="F62" s="10" t="str">
        <f t="shared" si="5"/>
        <v/>
      </c>
      <c r="G62" s="10" t="str">
        <f t="shared" si="6"/>
        <v>SHOW</v>
      </c>
      <c r="H62" s="10" t="str">
        <f t="shared" si="7"/>
        <v>WIN</v>
      </c>
      <c r="I62" s="10" t="str">
        <f t="shared" si="8"/>
        <v/>
      </c>
      <c r="J62" s="10" t="str">
        <f t="shared" si="9"/>
        <v>WIN</v>
      </c>
      <c r="L62">
        <f t="shared" si="10"/>
        <v>2</v>
      </c>
      <c r="M62">
        <f t="shared" si="11"/>
        <v>0</v>
      </c>
      <c r="N62">
        <f t="shared" si="12"/>
        <v>1</v>
      </c>
      <c r="O62" s="24">
        <f t="shared" si="13"/>
        <v>51.728586171310631</v>
      </c>
      <c r="U62" s="23">
        <f t="shared" si="14"/>
        <v>0</v>
      </c>
      <c r="V62" s="23">
        <f t="shared" si="15"/>
        <v>0</v>
      </c>
      <c r="W62" s="23">
        <f t="shared" si="16"/>
        <v>0</v>
      </c>
      <c r="X62" s="23">
        <f t="shared" si="17"/>
        <v>0</v>
      </c>
      <c r="Y62" s="23">
        <f t="shared" si="18"/>
        <v>0</v>
      </c>
      <c r="Z62" s="23">
        <f t="shared" si="19"/>
        <v>6.1403508771929829</v>
      </c>
      <c r="AA62" s="23">
        <f t="shared" si="20"/>
        <v>20.588235294117649</v>
      </c>
      <c r="AB62" s="23">
        <f t="shared" si="21"/>
        <v>0</v>
      </c>
      <c r="AC62" s="23">
        <f t="shared" si="22"/>
        <v>25</v>
      </c>
    </row>
    <row r="63" spans="1:29" ht="18.75" x14ac:dyDescent="0.25">
      <c r="A63" t="str">
        <f t="shared" si="0"/>
        <v>Hauwei</v>
      </c>
      <c r="B63" s="9" t="str">
        <f t="shared" si="1"/>
        <v>WIN</v>
      </c>
      <c r="C63" s="10" t="str">
        <f t="shared" si="2"/>
        <v/>
      </c>
      <c r="D63" s="10" t="str">
        <f t="shared" si="3"/>
        <v>SHOW</v>
      </c>
      <c r="E63" s="10" t="str">
        <f t="shared" si="4"/>
        <v>PLACE</v>
      </c>
      <c r="F63" s="10" t="str">
        <f t="shared" si="5"/>
        <v>WIN</v>
      </c>
      <c r="G63" s="10" t="str">
        <f t="shared" si="6"/>
        <v/>
      </c>
      <c r="H63" s="10" t="str">
        <f t="shared" si="7"/>
        <v/>
      </c>
      <c r="I63" s="10" t="str">
        <f t="shared" si="8"/>
        <v/>
      </c>
      <c r="J63" s="10" t="str">
        <f t="shared" si="9"/>
        <v/>
      </c>
      <c r="L63">
        <f t="shared" si="10"/>
        <v>2</v>
      </c>
      <c r="M63">
        <f t="shared" si="11"/>
        <v>1</v>
      </c>
      <c r="N63">
        <f t="shared" si="12"/>
        <v>1</v>
      </c>
      <c r="O63" s="24">
        <f t="shared" si="13"/>
        <v>85.512820512820511</v>
      </c>
      <c r="P63" t="s">
        <v>209</v>
      </c>
      <c r="U63" s="23">
        <f t="shared" si="14"/>
        <v>26.923076923076923</v>
      </c>
      <c r="V63" s="23">
        <f t="shared" si="15"/>
        <v>0</v>
      </c>
      <c r="W63" s="23">
        <f t="shared" si="16"/>
        <v>8.3333333333333339</v>
      </c>
      <c r="X63" s="23">
        <f t="shared" si="17"/>
        <v>23.333333333333332</v>
      </c>
      <c r="Y63" s="23">
        <f t="shared" si="18"/>
        <v>26.923076923076923</v>
      </c>
      <c r="Z63" s="23">
        <f t="shared" si="19"/>
        <v>0</v>
      </c>
      <c r="AA63" s="23">
        <f t="shared" si="20"/>
        <v>0</v>
      </c>
      <c r="AB63" s="23">
        <f t="shared" si="21"/>
        <v>0</v>
      </c>
      <c r="AC63" s="23">
        <f t="shared" si="22"/>
        <v>0</v>
      </c>
    </row>
    <row r="64" spans="1:29" ht="18.75" x14ac:dyDescent="0.25">
      <c r="A64" t="str">
        <f t="shared" si="0"/>
        <v>Alyssa</v>
      </c>
      <c r="B64" s="9" t="str">
        <f t="shared" si="1"/>
        <v>WIN</v>
      </c>
      <c r="C64" s="10" t="str">
        <f t="shared" si="2"/>
        <v>PLACE</v>
      </c>
      <c r="D64" s="10" t="str">
        <f t="shared" si="3"/>
        <v/>
      </c>
      <c r="E64" s="10" t="str">
        <f t="shared" si="4"/>
        <v>PLACE</v>
      </c>
      <c r="F64" s="10" t="str">
        <f t="shared" si="5"/>
        <v/>
      </c>
      <c r="G64" s="10" t="str">
        <f t="shared" si="6"/>
        <v/>
      </c>
      <c r="H64" s="10" t="str">
        <f t="shared" si="7"/>
        <v/>
      </c>
      <c r="I64" s="10" t="str">
        <f t="shared" si="8"/>
        <v/>
      </c>
      <c r="J64" s="10" t="str">
        <f t="shared" si="9"/>
        <v/>
      </c>
      <c r="L64">
        <f t="shared" si="10"/>
        <v>1</v>
      </c>
      <c r="M64">
        <f t="shared" si="11"/>
        <v>2</v>
      </c>
      <c r="N64">
        <f t="shared" si="12"/>
        <v>0</v>
      </c>
      <c r="O64" s="24">
        <f t="shared" si="13"/>
        <v>94.006410256410248</v>
      </c>
      <c r="U64" s="23">
        <f t="shared" si="14"/>
        <v>26.923076923076923</v>
      </c>
      <c r="V64" s="23">
        <f t="shared" si="15"/>
        <v>43.75</v>
      </c>
      <c r="W64" s="23">
        <f t="shared" si="16"/>
        <v>0</v>
      </c>
      <c r="X64" s="23">
        <f t="shared" si="17"/>
        <v>23.333333333333332</v>
      </c>
      <c r="Y64" s="23">
        <f t="shared" si="18"/>
        <v>0</v>
      </c>
      <c r="Z64" s="23">
        <f t="shared" si="19"/>
        <v>0</v>
      </c>
      <c r="AA64" s="23">
        <f t="shared" si="20"/>
        <v>0</v>
      </c>
      <c r="AB64" s="23">
        <f t="shared" si="21"/>
        <v>0</v>
      </c>
      <c r="AC64" s="23">
        <f t="shared" si="22"/>
        <v>0</v>
      </c>
    </row>
    <row r="65" spans="1:29" ht="18.75" x14ac:dyDescent="0.25">
      <c r="A65" t="str">
        <f t="shared" si="0"/>
        <v>K. Hill</v>
      </c>
      <c r="B65" s="9" t="str">
        <f t="shared" si="1"/>
        <v/>
      </c>
      <c r="C65" s="10" t="str">
        <f t="shared" si="2"/>
        <v/>
      </c>
      <c r="D65" s="10" t="str">
        <f t="shared" si="3"/>
        <v/>
      </c>
      <c r="E65" s="10" t="str">
        <f t="shared" si="4"/>
        <v/>
      </c>
      <c r="F65" s="10" t="str">
        <f t="shared" si="5"/>
        <v/>
      </c>
      <c r="G65" s="10" t="str">
        <f t="shared" si="6"/>
        <v/>
      </c>
      <c r="H65" s="10" t="str">
        <f t="shared" si="7"/>
        <v/>
      </c>
      <c r="I65" s="10" t="str">
        <f t="shared" si="8"/>
        <v/>
      </c>
      <c r="J65" s="10" t="str">
        <f t="shared" si="9"/>
        <v/>
      </c>
      <c r="L65">
        <f t="shared" si="10"/>
        <v>0</v>
      </c>
      <c r="M65">
        <f t="shared" si="11"/>
        <v>0</v>
      </c>
      <c r="N65">
        <f t="shared" si="12"/>
        <v>0</v>
      </c>
      <c r="O65" s="24">
        <f t="shared" si="13"/>
        <v>0</v>
      </c>
      <c r="U65" s="23">
        <f t="shared" si="14"/>
        <v>0</v>
      </c>
      <c r="V65" s="23">
        <f t="shared" si="15"/>
        <v>0</v>
      </c>
      <c r="W65" s="23">
        <f t="shared" si="16"/>
        <v>0</v>
      </c>
      <c r="X65" s="23">
        <f t="shared" si="17"/>
        <v>0</v>
      </c>
      <c r="Y65" s="23">
        <f t="shared" si="18"/>
        <v>0</v>
      </c>
      <c r="Z65" s="23">
        <f t="shared" si="19"/>
        <v>0</v>
      </c>
      <c r="AA65" s="23">
        <f t="shared" si="20"/>
        <v>0</v>
      </c>
      <c r="AB65" s="23">
        <f t="shared" si="21"/>
        <v>0</v>
      </c>
      <c r="AC65" s="23">
        <f t="shared" si="22"/>
        <v>0</v>
      </c>
    </row>
    <row r="66" spans="1:29" ht="18.75" x14ac:dyDescent="0.25">
      <c r="A66" t="str">
        <f t="shared" si="0"/>
        <v>Matt</v>
      </c>
      <c r="B66" s="9" t="str">
        <f t="shared" si="1"/>
        <v/>
      </c>
      <c r="C66" s="10" t="str">
        <f t="shared" si="2"/>
        <v/>
      </c>
      <c r="D66" s="10" t="str">
        <f t="shared" si="3"/>
        <v/>
      </c>
      <c r="E66" s="10" t="str">
        <f t="shared" si="4"/>
        <v/>
      </c>
      <c r="F66" s="10" t="str">
        <f t="shared" si="5"/>
        <v/>
      </c>
      <c r="G66" s="10" t="str">
        <f t="shared" si="6"/>
        <v>PLACE</v>
      </c>
      <c r="H66" s="10" t="str">
        <f t="shared" si="7"/>
        <v>SHOW</v>
      </c>
      <c r="I66" s="10" t="str">
        <f t="shared" si="8"/>
        <v>SHOW</v>
      </c>
      <c r="J66" s="10" t="str">
        <f t="shared" si="9"/>
        <v/>
      </c>
      <c r="L66">
        <f t="shared" si="10"/>
        <v>0</v>
      </c>
      <c r="M66">
        <f t="shared" si="11"/>
        <v>1</v>
      </c>
      <c r="N66">
        <f t="shared" si="12"/>
        <v>2</v>
      </c>
      <c r="O66" s="24">
        <f t="shared" si="13"/>
        <v>26.019091847265226</v>
      </c>
      <c r="U66" s="23">
        <f t="shared" si="14"/>
        <v>0</v>
      </c>
      <c r="V66" s="23">
        <f t="shared" si="15"/>
        <v>0</v>
      </c>
      <c r="W66" s="23">
        <f t="shared" si="16"/>
        <v>0</v>
      </c>
      <c r="X66" s="23">
        <f t="shared" si="17"/>
        <v>0</v>
      </c>
      <c r="Y66" s="23">
        <f t="shared" si="18"/>
        <v>0</v>
      </c>
      <c r="Z66" s="23">
        <f t="shared" si="19"/>
        <v>18.421052631578949</v>
      </c>
      <c r="AA66" s="23">
        <f t="shared" si="20"/>
        <v>3.4313725490196081</v>
      </c>
      <c r="AB66" s="23">
        <f t="shared" si="21"/>
        <v>4.166666666666667</v>
      </c>
      <c r="AC66" s="23">
        <f t="shared" si="22"/>
        <v>0</v>
      </c>
    </row>
    <row r="67" spans="1:29" ht="18.75" x14ac:dyDescent="0.25">
      <c r="A67" t="str">
        <f t="shared" si="0"/>
        <v>Cassie</v>
      </c>
      <c r="B67" s="9" t="str">
        <f t="shared" si="1"/>
        <v/>
      </c>
      <c r="C67" s="10" t="str">
        <f t="shared" si="2"/>
        <v>SHOW</v>
      </c>
      <c r="D67" s="10" t="str">
        <f t="shared" si="3"/>
        <v>PLACE</v>
      </c>
      <c r="E67" s="10" t="str">
        <f t="shared" si="4"/>
        <v/>
      </c>
      <c r="F67" s="10" t="str">
        <f t="shared" si="5"/>
        <v>PLACE</v>
      </c>
      <c r="G67" s="10" t="str">
        <f t="shared" si="6"/>
        <v/>
      </c>
      <c r="H67" s="10" t="str">
        <f t="shared" si="7"/>
        <v>PLACE</v>
      </c>
      <c r="I67" s="10" t="str">
        <f t="shared" si="8"/>
        <v/>
      </c>
      <c r="J67" s="10" t="str">
        <f t="shared" si="9"/>
        <v>WIN</v>
      </c>
      <c r="L67">
        <f t="shared" si="10"/>
        <v>1</v>
      </c>
      <c r="M67">
        <f t="shared" si="11"/>
        <v>3</v>
      </c>
      <c r="N67">
        <f t="shared" si="12"/>
        <v>1</v>
      </c>
      <c r="O67" s="24">
        <f t="shared" si="13"/>
        <v>78.044871794871796</v>
      </c>
      <c r="U67" s="23">
        <f t="shared" si="14"/>
        <v>0</v>
      </c>
      <c r="V67" s="23">
        <f t="shared" si="15"/>
        <v>14.583333333333334</v>
      </c>
      <c r="W67" s="23">
        <f t="shared" si="16"/>
        <v>25</v>
      </c>
      <c r="X67" s="23">
        <f t="shared" si="17"/>
        <v>0</v>
      </c>
      <c r="Y67" s="23">
        <f t="shared" si="18"/>
        <v>13.461538461538462</v>
      </c>
      <c r="Z67" s="23">
        <f t="shared" si="19"/>
        <v>0</v>
      </c>
      <c r="AA67" s="23">
        <f t="shared" si="20"/>
        <v>0</v>
      </c>
      <c r="AB67" s="23">
        <f t="shared" si="21"/>
        <v>0</v>
      </c>
      <c r="AC67" s="23">
        <f t="shared" si="22"/>
        <v>25</v>
      </c>
    </row>
    <row r="68" spans="1:29" ht="18.75" x14ac:dyDescent="0.25">
      <c r="A68" t="str">
        <f t="shared" si="0"/>
        <v>Anu</v>
      </c>
      <c r="B68" s="9" t="str">
        <f t="shared" si="1"/>
        <v/>
      </c>
      <c r="C68" s="10" t="str">
        <f t="shared" si="2"/>
        <v/>
      </c>
      <c r="D68" s="10" t="str">
        <f t="shared" si="3"/>
        <v/>
      </c>
      <c r="E68" s="10" t="str">
        <f t="shared" si="4"/>
        <v/>
      </c>
      <c r="F68" s="10" t="str">
        <f t="shared" si="5"/>
        <v>PLACE</v>
      </c>
      <c r="G68" s="10" t="str">
        <f t="shared" si="6"/>
        <v/>
      </c>
      <c r="H68" s="10" t="str">
        <f t="shared" si="7"/>
        <v/>
      </c>
      <c r="I68" s="10" t="str">
        <f t="shared" si="8"/>
        <v/>
      </c>
      <c r="J68" s="10" t="str">
        <f t="shared" si="9"/>
        <v/>
      </c>
      <c r="L68">
        <f t="shared" si="10"/>
        <v>0</v>
      </c>
      <c r="M68">
        <f t="shared" si="11"/>
        <v>1</v>
      </c>
      <c r="N68">
        <f t="shared" si="12"/>
        <v>0</v>
      </c>
      <c r="O68" s="24">
        <f t="shared" si="13"/>
        <v>13.461538461538462</v>
      </c>
      <c r="U68" s="23">
        <f t="shared" si="14"/>
        <v>0</v>
      </c>
      <c r="V68" s="23">
        <f t="shared" si="15"/>
        <v>0</v>
      </c>
      <c r="W68" s="23">
        <f t="shared" si="16"/>
        <v>0</v>
      </c>
      <c r="X68" s="23">
        <f t="shared" si="17"/>
        <v>0</v>
      </c>
      <c r="Y68" s="23">
        <f t="shared" si="18"/>
        <v>13.461538461538462</v>
      </c>
      <c r="Z68" s="23">
        <f t="shared" si="19"/>
        <v>0</v>
      </c>
      <c r="AA68" s="23">
        <f t="shared" si="20"/>
        <v>0</v>
      </c>
      <c r="AB68" s="23">
        <f t="shared" si="21"/>
        <v>0</v>
      </c>
      <c r="AC68" s="23">
        <f t="shared" si="22"/>
        <v>0</v>
      </c>
    </row>
    <row r="69" spans="1:29" ht="18.75" x14ac:dyDescent="0.25">
      <c r="A69" t="str">
        <f t="shared" si="0"/>
        <v>Nick</v>
      </c>
      <c r="B69" s="9" t="str">
        <f t="shared" si="1"/>
        <v/>
      </c>
      <c r="C69" s="10" t="str">
        <f t="shared" si="2"/>
        <v/>
      </c>
      <c r="D69" s="10" t="str">
        <f t="shared" si="3"/>
        <v/>
      </c>
      <c r="E69" s="10" t="str">
        <f t="shared" si="4"/>
        <v/>
      </c>
      <c r="F69" s="10" t="str">
        <f t="shared" si="5"/>
        <v/>
      </c>
      <c r="G69" s="10" t="str">
        <f t="shared" si="6"/>
        <v/>
      </c>
      <c r="H69" s="10" t="str">
        <f t="shared" si="7"/>
        <v/>
      </c>
      <c r="I69" s="10" t="str">
        <f t="shared" si="8"/>
        <v/>
      </c>
      <c r="J69" s="10" t="str">
        <f t="shared" si="9"/>
        <v>PLACE</v>
      </c>
      <c r="L69">
        <f t="shared" si="10"/>
        <v>0</v>
      </c>
      <c r="M69">
        <f t="shared" si="11"/>
        <v>1</v>
      </c>
      <c r="N69">
        <f t="shared" si="12"/>
        <v>0</v>
      </c>
      <c r="O69" s="24">
        <f t="shared" si="13"/>
        <v>12.5</v>
      </c>
      <c r="U69" s="23">
        <f t="shared" si="14"/>
        <v>0</v>
      </c>
      <c r="V69" s="23">
        <f t="shared" si="15"/>
        <v>0</v>
      </c>
      <c r="W69" s="23">
        <f t="shared" si="16"/>
        <v>0</v>
      </c>
      <c r="X69" s="23">
        <f t="shared" si="17"/>
        <v>0</v>
      </c>
      <c r="Y69" s="23">
        <f t="shared" si="18"/>
        <v>0</v>
      </c>
      <c r="Z69" s="23">
        <f t="shared" si="19"/>
        <v>0</v>
      </c>
      <c r="AA69" s="23">
        <f t="shared" si="20"/>
        <v>0</v>
      </c>
      <c r="AB69" s="23">
        <f t="shared" si="21"/>
        <v>0</v>
      </c>
      <c r="AC69" s="23">
        <f t="shared" si="22"/>
        <v>12.5</v>
      </c>
    </row>
    <row r="70" spans="1:29" ht="18.75" x14ac:dyDescent="0.25">
      <c r="A70" t="str">
        <f t="shared" si="0"/>
        <v>Kristen</v>
      </c>
      <c r="B70" s="9" t="str">
        <f t="shared" si="1"/>
        <v/>
      </c>
      <c r="C70" s="10" t="str">
        <f t="shared" si="2"/>
        <v/>
      </c>
      <c r="D70" s="10" t="str">
        <f t="shared" si="3"/>
        <v/>
      </c>
      <c r="E70" s="10" t="str">
        <f t="shared" si="4"/>
        <v/>
      </c>
      <c r="F70" s="10" t="str">
        <f t="shared" si="5"/>
        <v/>
      </c>
      <c r="G70" s="10" t="str">
        <f t="shared" si="6"/>
        <v/>
      </c>
      <c r="H70" s="10" t="str">
        <f t="shared" si="7"/>
        <v/>
      </c>
      <c r="I70" s="10" t="str">
        <f t="shared" si="8"/>
        <v/>
      </c>
      <c r="J70" s="10" t="str">
        <f t="shared" si="9"/>
        <v/>
      </c>
      <c r="L70">
        <f t="shared" si="10"/>
        <v>0</v>
      </c>
      <c r="M70">
        <f t="shared" si="11"/>
        <v>0</v>
      </c>
      <c r="N70">
        <f t="shared" si="12"/>
        <v>0</v>
      </c>
      <c r="O70" s="24">
        <f t="shared" si="13"/>
        <v>0</v>
      </c>
      <c r="U70" s="23">
        <f t="shared" si="14"/>
        <v>0</v>
      </c>
      <c r="V70" s="23">
        <f t="shared" si="15"/>
        <v>0</v>
      </c>
      <c r="W70" s="23">
        <f t="shared" si="16"/>
        <v>0</v>
      </c>
      <c r="X70" s="23">
        <f t="shared" si="17"/>
        <v>0</v>
      </c>
      <c r="Y70" s="23">
        <f t="shared" si="18"/>
        <v>0</v>
      </c>
      <c r="Z70" s="23">
        <f t="shared" si="19"/>
        <v>0</v>
      </c>
      <c r="AA70" s="23">
        <f t="shared" si="20"/>
        <v>0</v>
      </c>
      <c r="AB70" s="23">
        <f t="shared" si="21"/>
        <v>0</v>
      </c>
      <c r="AC70" s="23">
        <f t="shared" si="22"/>
        <v>0</v>
      </c>
    </row>
    <row r="71" spans="1:29" ht="18.75" x14ac:dyDescent="0.25">
      <c r="A71" t="str">
        <f t="shared" si="0"/>
        <v>Andrea's friend</v>
      </c>
      <c r="B71" s="9" t="str">
        <f t="shared" si="1"/>
        <v>PLACE</v>
      </c>
      <c r="C71" s="10" t="str">
        <f t="shared" si="2"/>
        <v/>
      </c>
      <c r="D71" s="10" t="str">
        <f t="shared" si="3"/>
        <v/>
      </c>
      <c r="E71" s="10" t="str">
        <f t="shared" si="4"/>
        <v/>
      </c>
      <c r="F71" s="10" t="str">
        <f t="shared" si="5"/>
        <v/>
      </c>
      <c r="G71" s="10" t="str">
        <f t="shared" si="6"/>
        <v/>
      </c>
      <c r="H71" s="10" t="str">
        <f t="shared" si="7"/>
        <v/>
      </c>
      <c r="I71" s="10" t="str">
        <f t="shared" si="8"/>
        <v>WIN</v>
      </c>
      <c r="J71" s="10" t="str">
        <f t="shared" si="9"/>
        <v/>
      </c>
      <c r="L71">
        <f t="shared" si="10"/>
        <v>1</v>
      </c>
      <c r="M71">
        <f t="shared" si="11"/>
        <v>1</v>
      </c>
      <c r="N71">
        <f t="shared" si="12"/>
        <v>0</v>
      </c>
      <c r="O71" s="24">
        <f t="shared" si="13"/>
        <v>38.46153846153846</v>
      </c>
      <c r="U71" s="23">
        <f t="shared" si="14"/>
        <v>13.461538461538462</v>
      </c>
      <c r="V71" s="23">
        <f t="shared" si="15"/>
        <v>0</v>
      </c>
      <c r="W71" s="23">
        <f t="shared" si="16"/>
        <v>0</v>
      </c>
      <c r="X71" s="23">
        <f t="shared" si="17"/>
        <v>0</v>
      </c>
      <c r="Y71" s="23">
        <f t="shared" si="18"/>
        <v>0</v>
      </c>
      <c r="Z71" s="23">
        <f>IF($G71="WIN",$G$73,IF($G71="PLACE",$G$74,IF($G71="SHOW",$G$75,0)))</f>
        <v>0</v>
      </c>
      <c r="AA71" s="23">
        <f t="shared" si="20"/>
        <v>0</v>
      </c>
      <c r="AB71" s="23">
        <f t="shared" si="21"/>
        <v>25</v>
      </c>
      <c r="AC71" s="23">
        <f t="shared" si="22"/>
        <v>0</v>
      </c>
    </row>
    <row r="72" spans="1:29" ht="15" x14ac:dyDescent="0.2">
      <c r="B72" s="9"/>
      <c r="C72" s="10"/>
      <c r="D72" s="10"/>
      <c r="E72" s="10"/>
      <c r="F72" s="10"/>
      <c r="G72" s="10"/>
      <c r="H72" s="10"/>
      <c r="I72" s="10"/>
      <c r="J72" s="10"/>
    </row>
    <row r="73" spans="1:29" ht="15" x14ac:dyDescent="0.2">
      <c r="A73" t="s">
        <v>194</v>
      </c>
      <c r="B73" s="17">
        <f>IF(ISBLANK(B$82),"",B$82*6)</f>
        <v>26.923076923076923</v>
      </c>
      <c r="C73" s="17">
        <f>IF(ISBLANK(C$82),"",C$82*6)</f>
        <v>87.5</v>
      </c>
      <c r="D73" s="17">
        <f t="shared" ref="D73:J73" si="23">IF(ISBLANK(D$82),"",D$82*6)</f>
        <v>50</v>
      </c>
      <c r="E73" s="17">
        <f>IF(ISBLANK(E$82),"",E$82*6)</f>
        <v>46.666666666666664</v>
      </c>
      <c r="F73" s="17">
        <f t="shared" si="23"/>
        <v>26.923076923076923</v>
      </c>
      <c r="G73" s="17">
        <f t="shared" si="23"/>
        <v>36.842105263157897</v>
      </c>
      <c r="H73" s="17">
        <f t="shared" si="23"/>
        <v>20.588235294117649</v>
      </c>
      <c r="I73" s="17">
        <f t="shared" si="23"/>
        <v>25</v>
      </c>
      <c r="J73" s="17">
        <f t="shared" si="23"/>
        <v>25</v>
      </c>
    </row>
    <row r="74" spans="1:29" ht="15" x14ac:dyDescent="0.2">
      <c r="A74" t="s">
        <v>195</v>
      </c>
      <c r="B74" s="17">
        <f>B$82*3</f>
        <v>13.461538461538462</v>
      </c>
      <c r="C74" s="17">
        <f t="shared" ref="C74:J74" si="24">C$82*3</f>
        <v>43.75</v>
      </c>
      <c r="D74" s="17">
        <f t="shared" si="24"/>
        <v>25</v>
      </c>
      <c r="E74" s="17">
        <f t="shared" si="24"/>
        <v>23.333333333333332</v>
      </c>
      <c r="F74" s="17">
        <f t="shared" si="24"/>
        <v>13.461538461538462</v>
      </c>
      <c r="G74" s="17">
        <f t="shared" si="24"/>
        <v>18.421052631578949</v>
      </c>
      <c r="H74" s="17">
        <f t="shared" si="24"/>
        <v>10.294117647058824</v>
      </c>
      <c r="I74" s="17">
        <f t="shared" si="24"/>
        <v>12.5</v>
      </c>
      <c r="J74" s="17">
        <f t="shared" si="24"/>
        <v>12.5</v>
      </c>
    </row>
    <row r="75" spans="1:29" ht="15" x14ac:dyDescent="0.2">
      <c r="A75" t="s">
        <v>196</v>
      </c>
      <c r="B75" s="17">
        <f>B$82</f>
        <v>4.4871794871794872</v>
      </c>
      <c r="C75" s="17">
        <f t="shared" ref="C75:J75" si="25">C$82</f>
        <v>14.583333333333334</v>
      </c>
      <c r="D75" s="17">
        <f t="shared" si="25"/>
        <v>8.3333333333333339</v>
      </c>
      <c r="E75" s="17">
        <f t="shared" si="25"/>
        <v>7.7777777777777777</v>
      </c>
      <c r="F75" s="17">
        <f t="shared" si="25"/>
        <v>4.4871794871794872</v>
      </c>
      <c r="G75" s="17">
        <f t="shared" si="25"/>
        <v>6.1403508771929829</v>
      </c>
      <c r="H75" s="17">
        <f t="shared" si="25"/>
        <v>3.4313725490196081</v>
      </c>
      <c r="I75" s="17">
        <f t="shared" si="25"/>
        <v>4.166666666666667</v>
      </c>
      <c r="J75" s="17">
        <f t="shared" si="25"/>
        <v>4.166666666666667</v>
      </c>
    </row>
    <row r="76" spans="1:29" ht="15" x14ac:dyDescent="0.2">
      <c r="B76" s="8"/>
    </row>
    <row r="77" spans="1:29" ht="15" x14ac:dyDescent="0.2">
      <c r="A77" t="s">
        <v>191</v>
      </c>
      <c r="B77" s="19">
        <f>COUNTIF(B$44:B$71,"WIN")</f>
        <v>3</v>
      </c>
      <c r="C77" s="13">
        <f>COUNTIF(C$44:C$71,"WIN")</f>
        <v>0</v>
      </c>
      <c r="D77" s="13">
        <f t="shared" ref="D77:J77" si="26">COUNTIF(D$44:D$71,"WIN")</f>
        <v>0</v>
      </c>
      <c r="E77" s="13">
        <f t="shared" si="26"/>
        <v>1</v>
      </c>
      <c r="F77" s="13">
        <f>COUNTIF(F$44:F$71,"WIN")</f>
        <v>1</v>
      </c>
      <c r="G77" s="13">
        <f t="shared" si="26"/>
        <v>2</v>
      </c>
      <c r="H77" s="13">
        <f t="shared" si="26"/>
        <v>3</v>
      </c>
      <c r="I77" s="13">
        <f t="shared" si="26"/>
        <v>3</v>
      </c>
      <c r="J77" s="13">
        <f t="shared" si="26"/>
        <v>3</v>
      </c>
    </row>
    <row r="78" spans="1:29" ht="15" x14ac:dyDescent="0.2">
      <c r="A78" t="s">
        <v>192</v>
      </c>
      <c r="B78" s="19">
        <f>COUNTIF(B$44:B$71,"PLACE")</f>
        <v>2</v>
      </c>
      <c r="C78" s="13">
        <f>COUNTIF(C$44:C$71,"PLACE")</f>
        <v>2</v>
      </c>
      <c r="D78" s="13">
        <f t="shared" ref="D78:J78" si="27">COUNTIF(D$44:D$71,"PLACE")</f>
        <v>4</v>
      </c>
      <c r="E78" s="13">
        <f t="shared" si="27"/>
        <v>3</v>
      </c>
      <c r="F78" s="13">
        <f t="shared" si="27"/>
        <v>5</v>
      </c>
      <c r="G78" s="13">
        <f>COUNTIF(G$44:G$71,"PLACE")</f>
        <v>2</v>
      </c>
      <c r="H78" s="13">
        <f t="shared" si="27"/>
        <v>5</v>
      </c>
      <c r="I78" s="13">
        <f t="shared" si="27"/>
        <v>3</v>
      </c>
      <c r="J78" s="13">
        <f t="shared" si="27"/>
        <v>3</v>
      </c>
    </row>
    <row r="79" spans="1:29" ht="15" x14ac:dyDescent="0.2">
      <c r="A79" t="s">
        <v>193</v>
      </c>
      <c r="B79" s="19">
        <f>COUNTIF(B$44:B$71,"SHOW")</f>
        <v>2</v>
      </c>
      <c r="C79" s="13">
        <f>COUNTIF(C$44:C$71,"SHOW")</f>
        <v>2</v>
      </c>
      <c r="D79" s="13">
        <f t="shared" ref="D79:J79" si="28">COUNTIF(D$44:D$71,"SHOW")</f>
        <v>2</v>
      </c>
      <c r="E79" s="13">
        <f t="shared" si="28"/>
        <v>0</v>
      </c>
      <c r="F79" s="13">
        <f t="shared" si="28"/>
        <v>5</v>
      </c>
      <c r="G79" s="13">
        <f t="shared" si="28"/>
        <v>1</v>
      </c>
      <c r="H79" s="13">
        <f t="shared" si="28"/>
        <v>1</v>
      </c>
      <c r="I79" s="13">
        <f t="shared" si="28"/>
        <v>1</v>
      </c>
      <c r="J79" s="13">
        <f t="shared" si="28"/>
        <v>1</v>
      </c>
    </row>
    <row r="80" spans="1:29" ht="15" x14ac:dyDescent="0.2">
      <c r="A80" t="s">
        <v>170</v>
      </c>
      <c r="B80" s="19">
        <f>SUM(B77:B79)</f>
        <v>7</v>
      </c>
      <c r="C80" s="13">
        <f t="shared" ref="C80:J80" si="29">SUM(C77:C79)</f>
        <v>4</v>
      </c>
      <c r="D80" s="13">
        <f t="shared" si="29"/>
        <v>6</v>
      </c>
      <c r="E80" s="13">
        <f t="shared" si="29"/>
        <v>4</v>
      </c>
      <c r="F80" s="13">
        <f t="shared" si="29"/>
        <v>11</v>
      </c>
      <c r="G80" s="13">
        <f t="shared" si="29"/>
        <v>5</v>
      </c>
      <c r="H80" s="13">
        <f t="shared" si="29"/>
        <v>9</v>
      </c>
      <c r="I80" s="13">
        <f t="shared" si="29"/>
        <v>7</v>
      </c>
      <c r="J80" s="13">
        <f t="shared" si="29"/>
        <v>7</v>
      </c>
    </row>
    <row r="81" spans="1:10" ht="15" x14ac:dyDescent="0.2">
      <c r="B81" s="19"/>
      <c r="C81" s="13"/>
      <c r="D81" s="13"/>
      <c r="E81" s="13"/>
      <c r="F81" s="13"/>
      <c r="G81" s="13"/>
      <c r="H81" s="13"/>
      <c r="I81" s="13"/>
      <c r="J81" s="13"/>
    </row>
    <row r="82" spans="1:10" ht="15" x14ac:dyDescent="0.2">
      <c r="A82" t="s">
        <v>197</v>
      </c>
      <c r="B82" s="18">
        <f>IF(B$80=0,0,B$83/(B$77 * 6 + B$78 * 3 + B$79))</f>
        <v>4.4871794871794872</v>
      </c>
      <c r="C82" s="18">
        <f t="shared" ref="C82:J82" si="30">IF(C$80=0,0,C$83/(C$77 * 6 + C$78 * 3 + C$79))</f>
        <v>14.583333333333334</v>
      </c>
      <c r="D82" s="18">
        <f t="shared" si="30"/>
        <v>8.3333333333333339</v>
      </c>
      <c r="E82" s="18">
        <f t="shared" si="30"/>
        <v>7.7777777777777777</v>
      </c>
      <c r="F82" s="18">
        <f t="shared" si="30"/>
        <v>4.4871794871794872</v>
      </c>
      <c r="G82" s="18">
        <f t="shared" si="30"/>
        <v>6.1403508771929829</v>
      </c>
      <c r="H82" s="18">
        <f t="shared" si="30"/>
        <v>3.4313725490196081</v>
      </c>
      <c r="I82" s="18">
        <f t="shared" si="30"/>
        <v>4.166666666666667</v>
      </c>
      <c r="J82" s="18">
        <f t="shared" si="30"/>
        <v>4.166666666666667</v>
      </c>
    </row>
    <row r="83" spans="1:10" s="16" customFormat="1" ht="15" x14ac:dyDescent="0.2">
      <c r="A83" s="16" t="s">
        <v>190</v>
      </c>
      <c r="B83" s="18">
        <f>(35*30)/9</f>
        <v>116.66666666666667</v>
      </c>
      <c r="C83" s="18">
        <f t="shared" ref="C83:J83" si="31">(35*30)/9</f>
        <v>116.66666666666667</v>
      </c>
      <c r="D83" s="18">
        <f t="shared" si="31"/>
        <v>116.66666666666667</v>
      </c>
      <c r="E83" s="18">
        <f t="shared" si="31"/>
        <v>116.66666666666667</v>
      </c>
      <c r="F83" s="18">
        <f t="shared" si="31"/>
        <v>116.66666666666667</v>
      </c>
      <c r="G83" s="18">
        <f t="shared" si="31"/>
        <v>116.66666666666667</v>
      </c>
      <c r="H83" s="18">
        <f t="shared" si="31"/>
        <v>116.66666666666667</v>
      </c>
      <c r="I83" s="18">
        <f t="shared" si="31"/>
        <v>116.66666666666667</v>
      </c>
      <c r="J83" s="18">
        <f t="shared" si="31"/>
        <v>116.66666666666667</v>
      </c>
    </row>
    <row r="84" spans="1:10" ht="15" x14ac:dyDescent="0.2">
      <c r="B84" s="12"/>
    </row>
  </sheetData>
  <sheetProtection selectLockedCells="1"/>
  <sortState xmlns:xlrd2="http://schemas.microsoft.com/office/spreadsheetml/2017/richdata2" ref="A2:B13">
    <sortCondition ref="A2:A13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74">
    <cfRule type="containsText" dxfId="4" priority="1" operator="containsText" text="SHOW">
      <formula>NOT(ISERROR(SEARCH("SHOW",B44)))</formula>
    </cfRule>
    <cfRule type="containsText" dxfId="3" priority="2" operator="containsText" text="PLACE">
      <formula>NOT(ISERROR(SEARCH("PLACE",B44)))</formula>
    </cfRule>
    <cfRule type="containsText" dxfId="2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FDDE-12C8-E841-9F4D-DD064ACAA8D5}">
  <dimension ref="A1:AD20"/>
  <sheetViews>
    <sheetView topLeftCell="A2" workbookViewId="0">
      <pane xSplit="2" topLeftCell="T1" activePane="topRight" state="frozen"/>
      <selection pane="topRight" activeCell="A19" sqref="A19:XFD20"/>
    </sheetView>
  </sheetViews>
  <sheetFormatPr baseColWidth="10" defaultColWidth="10.83203125" defaultRowHeight="16" x14ac:dyDescent="0.2"/>
  <cols>
    <col min="1" max="1" width="16.5" bestFit="1" customWidth="1"/>
    <col min="2" max="2" width="19.33203125" bestFit="1" customWidth="1"/>
    <col min="3" max="3" width="24.83203125" bestFit="1" customWidth="1"/>
    <col min="4" max="4" width="25.33203125" bestFit="1" customWidth="1"/>
    <col min="5" max="5" width="24.83203125" bestFit="1" customWidth="1"/>
    <col min="6" max="6" width="14.6640625" bestFit="1" customWidth="1"/>
    <col min="7" max="7" width="22.1640625" bestFit="1" customWidth="1"/>
    <col min="8" max="8" width="23" bestFit="1" customWidth="1"/>
    <col min="9" max="9" width="18.6640625" bestFit="1" customWidth="1"/>
    <col min="10" max="10" width="20.1640625" bestFit="1" customWidth="1"/>
    <col min="11" max="11" width="20.6640625" bestFit="1" customWidth="1"/>
    <col min="12" max="12" width="16.83203125" bestFit="1" customWidth="1"/>
    <col min="13" max="13" width="25.33203125" bestFit="1" customWidth="1"/>
    <col min="14" max="14" width="20.5" bestFit="1" customWidth="1"/>
    <col min="15" max="15" width="18.6640625" bestFit="1" customWidth="1"/>
    <col min="16" max="16" width="20.5" bestFit="1" customWidth="1"/>
    <col min="17" max="17" width="21.1640625" bestFit="1" customWidth="1"/>
    <col min="18" max="19" width="20.6640625" bestFit="1" customWidth="1"/>
    <col min="20" max="20" width="18.6640625" bestFit="1" customWidth="1"/>
    <col min="21" max="21" width="24.83203125" bestFit="1" customWidth="1"/>
    <col min="22" max="22" width="19.6640625" bestFit="1" customWidth="1"/>
    <col min="23" max="23" width="17.6640625" bestFit="1" customWidth="1"/>
    <col min="24" max="24" width="22.1640625" bestFit="1" customWidth="1"/>
    <col min="25" max="25" width="20.5" bestFit="1" customWidth="1"/>
    <col min="26" max="26" width="20.6640625" bestFit="1" customWidth="1"/>
    <col min="27" max="27" width="18.33203125" bestFit="1" customWidth="1"/>
    <col min="28" max="29" width="18.6640625" bestFit="1" customWidth="1"/>
    <col min="30" max="30" width="24.83203125" bestFit="1" customWidth="1"/>
  </cols>
  <sheetData>
    <row r="1" spans="1:30" ht="15" x14ac:dyDescent="0.2">
      <c r="B1" s="7" t="s">
        <v>14</v>
      </c>
      <c r="C1" s="7" t="s">
        <v>5</v>
      </c>
      <c r="D1" s="7" t="s">
        <v>16</v>
      </c>
      <c r="E1" s="7" t="s">
        <v>4</v>
      </c>
      <c r="F1" s="7" t="s">
        <v>7</v>
      </c>
      <c r="G1" s="7" t="s">
        <v>9</v>
      </c>
      <c r="H1" s="7" t="s">
        <v>6</v>
      </c>
      <c r="I1" s="7" t="s">
        <v>3</v>
      </c>
      <c r="J1" s="7" t="s">
        <v>8</v>
      </c>
      <c r="K1" s="7" t="s">
        <v>2</v>
      </c>
      <c r="L1" s="7" t="s">
        <v>10</v>
      </c>
      <c r="M1" s="7" t="s">
        <v>1</v>
      </c>
      <c r="N1" s="7" t="s">
        <v>0</v>
      </c>
      <c r="O1" s="7" t="s">
        <v>17</v>
      </c>
      <c r="P1" s="7" t="s">
        <v>18</v>
      </c>
      <c r="Q1" s="7" t="s">
        <v>20</v>
      </c>
      <c r="R1" s="7" t="s">
        <v>25</v>
      </c>
      <c r="S1" s="7" t="s">
        <v>26</v>
      </c>
      <c r="T1" s="7" t="s">
        <v>27</v>
      </c>
      <c r="U1" s="7" t="s">
        <v>171</v>
      </c>
      <c r="V1" s="7" t="s">
        <v>173</v>
      </c>
      <c r="W1" s="7" t="s">
        <v>175</v>
      </c>
      <c r="X1" s="7" t="s">
        <v>177</v>
      </c>
      <c r="Y1" s="7" t="s">
        <v>178</v>
      </c>
      <c r="Z1" s="7" t="s">
        <v>179</v>
      </c>
      <c r="AA1" s="7" t="s">
        <v>180</v>
      </c>
      <c r="AB1" s="7" t="s">
        <v>181</v>
      </c>
      <c r="AC1" s="7" t="s">
        <v>182</v>
      </c>
      <c r="AD1" s="20" t="s">
        <v>200</v>
      </c>
    </row>
    <row r="2" spans="1:30" ht="15.75" thickBot="1" x14ac:dyDescent="0.25">
      <c r="B2" s="15" t="s">
        <v>21</v>
      </c>
      <c r="C2" s="15" t="s">
        <v>12</v>
      </c>
      <c r="D2" s="15">
        <v>5194985453</v>
      </c>
      <c r="E2" s="15">
        <v>6475753560</v>
      </c>
      <c r="F2" s="15">
        <v>4806352335</v>
      </c>
      <c r="G2" s="15">
        <v>5193623586</v>
      </c>
      <c r="H2" s="15">
        <v>5193623672</v>
      </c>
      <c r="I2" s="15" t="s">
        <v>13</v>
      </c>
      <c r="J2" s="15">
        <v>5198611517</v>
      </c>
      <c r="K2" s="15">
        <v>5199989213</v>
      </c>
      <c r="L2" s="15" t="s">
        <v>11</v>
      </c>
      <c r="M2" s="15">
        <v>3109686593</v>
      </c>
      <c r="N2" s="15" t="s">
        <v>15</v>
      </c>
      <c r="O2" s="15" t="s">
        <v>19</v>
      </c>
      <c r="P2" s="15" t="s">
        <v>187</v>
      </c>
      <c r="Q2" s="15" t="s">
        <v>188</v>
      </c>
      <c r="R2" s="15" t="s">
        <v>24</v>
      </c>
      <c r="S2" s="15" t="s">
        <v>189</v>
      </c>
      <c r="T2" s="15" t="s">
        <v>187</v>
      </c>
      <c r="U2" s="15" t="s">
        <v>172</v>
      </c>
      <c r="V2" s="15" t="s">
        <v>174</v>
      </c>
      <c r="W2" s="15" t="s">
        <v>176</v>
      </c>
      <c r="X2" s="15" t="s">
        <v>176</v>
      </c>
      <c r="Y2" s="15" t="s">
        <v>176</v>
      </c>
      <c r="Z2" s="15" t="s">
        <v>176</v>
      </c>
      <c r="AA2" s="15" t="s">
        <v>176</v>
      </c>
      <c r="AB2" s="15" t="s">
        <v>176</v>
      </c>
      <c r="AC2" s="15" t="s">
        <v>176</v>
      </c>
      <c r="AD2" s="15" t="s">
        <v>201</v>
      </c>
    </row>
    <row r="3" spans="1:30" s="26" customFormat="1" ht="15.75" thickTop="1" x14ac:dyDescent="0.2">
      <c r="A3" s="26" t="s">
        <v>38</v>
      </c>
      <c r="B3" s="26" t="s">
        <v>164</v>
      </c>
      <c r="C3" s="27">
        <v>11</v>
      </c>
      <c r="D3" s="27">
        <v>1</v>
      </c>
      <c r="E3" s="27">
        <v>9</v>
      </c>
      <c r="F3" s="27">
        <v>13</v>
      </c>
      <c r="G3" s="27">
        <v>15</v>
      </c>
      <c r="H3" s="27">
        <v>16</v>
      </c>
      <c r="I3" s="27">
        <v>5</v>
      </c>
      <c r="J3" s="27">
        <v>3</v>
      </c>
      <c r="K3" s="27">
        <v>7</v>
      </c>
      <c r="L3" s="27">
        <v>17</v>
      </c>
      <c r="M3" s="27">
        <v>13</v>
      </c>
      <c r="N3" s="27">
        <v>8</v>
      </c>
      <c r="O3" s="27">
        <v>11</v>
      </c>
      <c r="P3" s="27">
        <v>8</v>
      </c>
      <c r="Q3" s="27">
        <v>9</v>
      </c>
      <c r="R3" s="27">
        <v>7</v>
      </c>
      <c r="S3" s="27">
        <v>8</v>
      </c>
      <c r="T3" s="27">
        <v>2</v>
      </c>
      <c r="U3" s="27">
        <v>5</v>
      </c>
      <c r="V3" s="27">
        <v>1</v>
      </c>
      <c r="W3" s="27">
        <v>1</v>
      </c>
      <c r="X3" s="27">
        <v>8</v>
      </c>
      <c r="Y3" s="27">
        <v>17</v>
      </c>
      <c r="Z3" s="27">
        <v>10</v>
      </c>
      <c r="AA3" s="27">
        <v>2</v>
      </c>
      <c r="AB3" s="27">
        <v>14</v>
      </c>
      <c r="AC3" s="27">
        <v>7</v>
      </c>
      <c r="AD3" s="27">
        <v>15</v>
      </c>
    </row>
    <row r="4" spans="1:30" s="26" customFormat="1" ht="15" x14ac:dyDescent="0.2">
      <c r="B4" s="26" t="s">
        <v>165</v>
      </c>
      <c r="C4" s="27" t="s">
        <v>166</v>
      </c>
      <c r="D4" s="27" t="s">
        <v>47</v>
      </c>
      <c r="E4" s="27" t="s">
        <v>55</v>
      </c>
      <c r="F4" s="27" t="s">
        <v>58</v>
      </c>
      <c r="G4" s="27" t="s">
        <v>60</v>
      </c>
      <c r="H4" s="27" t="s">
        <v>61</v>
      </c>
      <c r="I4" s="27" t="s">
        <v>51</v>
      </c>
      <c r="J4" s="27" t="s">
        <v>49</v>
      </c>
      <c r="K4" s="27" t="s">
        <v>53</v>
      </c>
      <c r="L4" s="27" t="s">
        <v>62</v>
      </c>
      <c r="M4" s="27" t="s">
        <v>58</v>
      </c>
      <c r="N4" s="27" t="s">
        <v>54</v>
      </c>
      <c r="O4" s="27" t="s">
        <v>166</v>
      </c>
      <c r="P4" s="27" t="s">
        <v>54</v>
      </c>
      <c r="Q4" s="27" t="s">
        <v>55</v>
      </c>
      <c r="R4" s="27" t="s">
        <v>53</v>
      </c>
      <c r="S4" s="27" t="s">
        <v>54</v>
      </c>
      <c r="T4" s="27" t="s">
        <v>48</v>
      </c>
      <c r="U4" s="27" t="s">
        <v>51</v>
      </c>
      <c r="V4" s="27" t="s">
        <v>47</v>
      </c>
      <c r="W4" s="27" t="s">
        <v>47</v>
      </c>
      <c r="X4" s="27" t="s">
        <v>54</v>
      </c>
      <c r="Y4" s="27" t="s">
        <v>62</v>
      </c>
      <c r="Z4" s="27" t="s">
        <v>56</v>
      </c>
      <c r="AA4" s="27" t="s">
        <v>48</v>
      </c>
      <c r="AB4" s="27" t="s">
        <v>59</v>
      </c>
      <c r="AC4" s="27" t="s">
        <v>53</v>
      </c>
      <c r="AD4" s="27" t="s">
        <v>60</v>
      </c>
    </row>
    <row r="5" spans="1:30" ht="15" x14ac:dyDescent="0.2">
      <c r="A5" t="s">
        <v>39</v>
      </c>
      <c r="B5" t="s">
        <v>164</v>
      </c>
      <c r="C5" s="6">
        <v>2</v>
      </c>
      <c r="D5" s="6">
        <v>8</v>
      </c>
      <c r="E5" s="6">
        <v>19</v>
      </c>
      <c r="F5" s="6">
        <v>7</v>
      </c>
      <c r="G5" s="6">
        <v>5</v>
      </c>
      <c r="H5" s="6">
        <v>2</v>
      </c>
      <c r="I5" s="6">
        <v>12</v>
      </c>
      <c r="J5" s="6">
        <v>18</v>
      </c>
      <c r="K5" s="6">
        <v>8</v>
      </c>
      <c r="L5" s="6">
        <v>1</v>
      </c>
      <c r="M5" s="6">
        <v>4</v>
      </c>
      <c r="N5" s="6">
        <v>1</v>
      </c>
      <c r="O5" s="6">
        <v>10</v>
      </c>
      <c r="P5" s="6">
        <v>14</v>
      </c>
      <c r="Q5" s="6">
        <v>12</v>
      </c>
      <c r="R5" s="6">
        <v>4</v>
      </c>
      <c r="S5" s="6">
        <v>20</v>
      </c>
      <c r="T5" s="6">
        <v>13</v>
      </c>
      <c r="U5" s="6">
        <v>8</v>
      </c>
      <c r="V5" s="6">
        <v>4</v>
      </c>
      <c r="W5" s="6">
        <v>10</v>
      </c>
      <c r="X5" s="6">
        <v>1</v>
      </c>
      <c r="Y5" s="6">
        <v>13</v>
      </c>
      <c r="Z5" s="6">
        <v>18</v>
      </c>
      <c r="AA5" s="6">
        <v>14</v>
      </c>
      <c r="AB5" s="6">
        <v>16</v>
      </c>
      <c r="AC5" s="6">
        <v>16</v>
      </c>
      <c r="AD5" s="6">
        <v>17</v>
      </c>
    </row>
    <row r="6" spans="1:30" ht="15" x14ac:dyDescent="0.2">
      <c r="B6" t="s">
        <v>165</v>
      </c>
      <c r="C6" s="6" t="s">
        <v>64</v>
      </c>
      <c r="D6" s="6" t="s">
        <v>70</v>
      </c>
      <c r="E6" s="6" t="s">
        <v>81</v>
      </c>
      <c r="F6" s="6" t="s">
        <v>69</v>
      </c>
      <c r="G6" s="6" t="s">
        <v>67</v>
      </c>
      <c r="H6" s="6" t="s">
        <v>64</v>
      </c>
      <c r="I6" s="6" t="s">
        <v>74</v>
      </c>
      <c r="J6" s="6" t="s">
        <v>80</v>
      </c>
      <c r="K6" s="6" t="s">
        <v>70</v>
      </c>
      <c r="L6" s="6" t="s">
        <v>63</v>
      </c>
      <c r="M6" s="6" t="s">
        <v>66</v>
      </c>
      <c r="N6" s="6" t="s">
        <v>63</v>
      </c>
      <c r="O6" s="6" t="s">
        <v>72</v>
      </c>
      <c r="P6" s="6" t="s">
        <v>76</v>
      </c>
      <c r="Q6" s="6" t="s">
        <v>74</v>
      </c>
      <c r="R6" s="6" t="s">
        <v>66</v>
      </c>
      <c r="S6" s="6" t="s">
        <v>82</v>
      </c>
      <c r="T6" s="6" t="s">
        <v>75</v>
      </c>
      <c r="U6" s="6" t="s">
        <v>70</v>
      </c>
      <c r="V6" s="6" t="s">
        <v>66</v>
      </c>
      <c r="W6" s="6" t="s">
        <v>72</v>
      </c>
      <c r="X6" s="6" t="s">
        <v>63</v>
      </c>
      <c r="Y6" s="6" t="s">
        <v>75</v>
      </c>
      <c r="Z6" s="6" t="s">
        <v>80</v>
      </c>
      <c r="AA6" s="6" t="s">
        <v>76</v>
      </c>
      <c r="AB6" s="6" t="s">
        <v>78</v>
      </c>
      <c r="AC6" s="6" t="s">
        <v>78</v>
      </c>
      <c r="AD6" s="6" t="s">
        <v>79</v>
      </c>
    </row>
    <row r="7" spans="1:30" s="26" customFormat="1" ht="15" x14ac:dyDescent="0.2">
      <c r="A7" s="26" t="s">
        <v>40</v>
      </c>
      <c r="B7" s="26" t="s">
        <v>164</v>
      </c>
      <c r="C7" s="27">
        <v>5</v>
      </c>
      <c r="D7" s="27">
        <v>12</v>
      </c>
      <c r="E7" s="27">
        <v>5</v>
      </c>
      <c r="F7" s="27">
        <v>3</v>
      </c>
      <c r="G7" s="27">
        <v>4</v>
      </c>
      <c r="H7" s="27">
        <v>8</v>
      </c>
      <c r="I7" s="27">
        <v>12</v>
      </c>
      <c r="J7" s="27">
        <v>10</v>
      </c>
      <c r="K7" s="27">
        <v>12</v>
      </c>
      <c r="L7" s="27">
        <v>11</v>
      </c>
      <c r="M7" s="27">
        <v>9</v>
      </c>
      <c r="N7" s="27">
        <v>6</v>
      </c>
      <c r="O7" s="27">
        <v>1</v>
      </c>
      <c r="P7" s="27">
        <v>6</v>
      </c>
      <c r="Q7" s="27">
        <v>10</v>
      </c>
      <c r="R7" s="27">
        <v>10</v>
      </c>
      <c r="S7" s="27">
        <v>11</v>
      </c>
      <c r="T7" s="27">
        <v>3</v>
      </c>
      <c r="U7" s="27">
        <v>5</v>
      </c>
      <c r="V7" s="27">
        <v>8</v>
      </c>
      <c r="W7" s="27">
        <v>7</v>
      </c>
      <c r="X7" s="27">
        <v>4</v>
      </c>
      <c r="Y7" s="27">
        <v>6</v>
      </c>
      <c r="Z7" s="27">
        <v>12</v>
      </c>
      <c r="AA7" s="27">
        <v>11</v>
      </c>
      <c r="AB7" s="27">
        <v>3</v>
      </c>
      <c r="AC7" s="27">
        <v>1</v>
      </c>
      <c r="AD7" s="27">
        <v>5</v>
      </c>
    </row>
    <row r="8" spans="1:30" s="26" customFormat="1" ht="15" x14ac:dyDescent="0.2">
      <c r="B8" s="26" t="s">
        <v>165</v>
      </c>
      <c r="C8" s="27" t="s">
        <v>156</v>
      </c>
      <c r="D8" s="27" t="s">
        <v>163</v>
      </c>
      <c r="E8" s="27" t="s">
        <v>156</v>
      </c>
      <c r="F8" s="27" t="s">
        <v>154</v>
      </c>
      <c r="G8" s="27" t="s">
        <v>155</v>
      </c>
      <c r="H8" s="27" t="s">
        <v>159</v>
      </c>
      <c r="I8" s="27" t="s">
        <v>163</v>
      </c>
      <c r="J8" s="27" t="s">
        <v>161</v>
      </c>
      <c r="K8" s="27" t="s">
        <v>163</v>
      </c>
      <c r="L8" s="27" t="s">
        <v>162</v>
      </c>
      <c r="M8" s="27" t="s">
        <v>160</v>
      </c>
      <c r="N8" s="27" t="s">
        <v>157</v>
      </c>
      <c r="O8" s="27" t="s">
        <v>152</v>
      </c>
      <c r="P8" s="27" t="s">
        <v>157</v>
      </c>
      <c r="Q8" s="27" t="s">
        <v>161</v>
      </c>
      <c r="R8" s="27" t="s">
        <v>161</v>
      </c>
      <c r="S8" s="27" t="s">
        <v>162</v>
      </c>
      <c r="T8" s="27" t="s">
        <v>154</v>
      </c>
      <c r="U8" s="27" t="s">
        <v>156</v>
      </c>
      <c r="V8" s="27" t="s">
        <v>159</v>
      </c>
      <c r="W8" s="27" t="s">
        <v>158</v>
      </c>
      <c r="X8" s="27" t="s">
        <v>155</v>
      </c>
      <c r="Y8" s="27" t="s">
        <v>157</v>
      </c>
      <c r="Z8" s="27" t="s">
        <v>163</v>
      </c>
      <c r="AA8" s="27" t="s">
        <v>162</v>
      </c>
      <c r="AB8" s="27" t="s">
        <v>154</v>
      </c>
      <c r="AC8" s="27" t="s">
        <v>152</v>
      </c>
      <c r="AD8" s="27" t="s">
        <v>156</v>
      </c>
    </row>
    <row r="9" spans="1:30" ht="15" x14ac:dyDescent="0.2">
      <c r="A9" t="s">
        <v>41</v>
      </c>
      <c r="B9" t="s">
        <v>164</v>
      </c>
      <c r="C9" s="6">
        <v>1</v>
      </c>
      <c r="D9" s="6">
        <v>5</v>
      </c>
      <c r="E9" s="6">
        <v>11</v>
      </c>
      <c r="F9" s="6">
        <v>12</v>
      </c>
      <c r="G9" s="6">
        <v>4</v>
      </c>
      <c r="H9" s="6">
        <v>1</v>
      </c>
      <c r="I9" s="6">
        <v>3</v>
      </c>
      <c r="J9" s="6">
        <v>13</v>
      </c>
      <c r="K9" s="6">
        <v>2</v>
      </c>
      <c r="L9" s="6">
        <v>8</v>
      </c>
      <c r="M9" s="6">
        <v>8</v>
      </c>
      <c r="N9" s="6">
        <v>10</v>
      </c>
      <c r="O9" s="6">
        <v>9</v>
      </c>
      <c r="P9" s="6">
        <v>1</v>
      </c>
      <c r="Q9" s="6">
        <v>3</v>
      </c>
      <c r="R9" s="6">
        <v>9</v>
      </c>
      <c r="S9" s="6">
        <v>1</v>
      </c>
      <c r="T9" s="6">
        <v>1</v>
      </c>
      <c r="U9" s="6">
        <v>10</v>
      </c>
      <c r="V9" s="6">
        <v>12</v>
      </c>
      <c r="W9" s="6">
        <v>12</v>
      </c>
      <c r="X9" s="6">
        <v>6</v>
      </c>
      <c r="Y9" s="6">
        <v>5</v>
      </c>
      <c r="Z9" s="6">
        <v>9</v>
      </c>
      <c r="AA9" s="6">
        <v>5</v>
      </c>
      <c r="AB9" s="6">
        <v>1</v>
      </c>
      <c r="AC9" s="6">
        <v>4</v>
      </c>
      <c r="AD9" s="6">
        <v>8</v>
      </c>
    </row>
    <row r="10" spans="1:30" ht="15" x14ac:dyDescent="0.2">
      <c r="B10" t="s">
        <v>165</v>
      </c>
      <c r="C10" s="6" t="s">
        <v>139</v>
      </c>
      <c r="D10" s="6" t="s">
        <v>143</v>
      </c>
      <c r="E10" s="6" t="s">
        <v>149</v>
      </c>
      <c r="F10" s="6" t="s">
        <v>150</v>
      </c>
      <c r="G10" s="6" t="s">
        <v>142</v>
      </c>
      <c r="H10" s="6" t="s">
        <v>139</v>
      </c>
      <c r="I10" s="6" t="s">
        <v>141</v>
      </c>
      <c r="J10" s="6" t="s">
        <v>151</v>
      </c>
      <c r="K10" s="6" t="s">
        <v>140</v>
      </c>
      <c r="L10" s="6" t="s">
        <v>146</v>
      </c>
      <c r="M10" s="6" t="s">
        <v>146</v>
      </c>
      <c r="N10" s="6" t="s">
        <v>148</v>
      </c>
      <c r="O10" s="6" t="s">
        <v>147</v>
      </c>
      <c r="P10" s="6" t="s">
        <v>139</v>
      </c>
      <c r="Q10" s="6" t="s">
        <v>141</v>
      </c>
      <c r="R10" s="6" t="s">
        <v>147</v>
      </c>
      <c r="S10" s="6" t="s">
        <v>139</v>
      </c>
      <c r="T10" s="6" t="s">
        <v>139</v>
      </c>
      <c r="U10" s="6" t="s">
        <v>148</v>
      </c>
      <c r="V10" s="6" t="s">
        <v>150</v>
      </c>
      <c r="W10" s="6" t="s">
        <v>150</v>
      </c>
      <c r="X10" s="6" t="s">
        <v>144</v>
      </c>
      <c r="Y10" s="6" t="s">
        <v>143</v>
      </c>
      <c r="Z10" s="6" t="s">
        <v>147</v>
      </c>
      <c r="AA10" s="6" t="s">
        <v>143</v>
      </c>
      <c r="AB10" s="6" t="s">
        <v>139</v>
      </c>
      <c r="AC10" s="6" t="s">
        <v>142</v>
      </c>
      <c r="AD10" s="6" t="s">
        <v>146</v>
      </c>
    </row>
    <row r="11" spans="1:30" s="26" customFormat="1" ht="15" x14ac:dyDescent="0.2">
      <c r="A11" s="26" t="s">
        <v>42</v>
      </c>
      <c r="B11" s="26" t="s">
        <v>164</v>
      </c>
      <c r="C11" s="27">
        <v>4</v>
      </c>
      <c r="D11" s="27">
        <v>5</v>
      </c>
      <c r="E11" s="27">
        <v>8</v>
      </c>
      <c r="F11" s="27">
        <v>3</v>
      </c>
      <c r="G11" s="27">
        <v>2</v>
      </c>
      <c r="H11" s="27">
        <v>2</v>
      </c>
      <c r="I11" s="27">
        <v>4</v>
      </c>
      <c r="J11" s="27">
        <v>2</v>
      </c>
      <c r="K11" s="27">
        <v>7</v>
      </c>
      <c r="L11" s="27">
        <v>4</v>
      </c>
      <c r="M11" s="27">
        <v>7</v>
      </c>
      <c r="N11" s="27">
        <v>3</v>
      </c>
      <c r="O11" s="27">
        <v>8</v>
      </c>
      <c r="P11" s="27">
        <v>3</v>
      </c>
      <c r="Q11" s="27">
        <v>3</v>
      </c>
      <c r="R11" s="27">
        <v>7</v>
      </c>
      <c r="S11" s="27">
        <v>4</v>
      </c>
      <c r="T11" s="27">
        <v>3</v>
      </c>
      <c r="U11" s="27">
        <v>4</v>
      </c>
      <c r="V11" s="27">
        <v>1</v>
      </c>
      <c r="W11" s="27">
        <v>6</v>
      </c>
      <c r="X11" s="27">
        <v>7</v>
      </c>
      <c r="Y11" s="27">
        <v>8</v>
      </c>
      <c r="Z11" s="27">
        <v>2</v>
      </c>
      <c r="AA11" s="27">
        <v>2</v>
      </c>
      <c r="AB11" s="27">
        <v>8</v>
      </c>
      <c r="AC11" s="27">
        <v>7</v>
      </c>
      <c r="AD11" s="27">
        <v>6</v>
      </c>
    </row>
    <row r="12" spans="1:30" s="26" customFormat="1" ht="15" x14ac:dyDescent="0.2">
      <c r="B12" s="26" t="s">
        <v>165</v>
      </c>
      <c r="C12" s="27" t="s">
        <v>134</v>
      </c>
      <c r="D12" s="27" t="s">
        <v>135</v>
      </c>
      <c r="E12" s="27" t="s">
        <v>138</v>
      </c>
      <c r="F12" s="27" t="s">
        <v>133</v>
      </c>
      <c r="G12" s="27" t="s">
        <v>132</v>
      </c>
      <c r="H12" s="27" t="s">
        <v>132</v>
      </c>
      <c r="I12" s="27" t="s">
        <v>134</v>
      </c>
      <c r="J12" s="27" t="s">
        <v>132</v>
      </c>
      <c r="K12" s="27" t="s">
        <v>137</v>
      </c>
      <c r="L12" s="27" t="s">
        <v>134</v>
      </c>
      <c r="M12" s="27" t="s">
        <v>137</v>
      </c>
      <c r="N12" s="27" t="s">
        <v>133</v>
      </c>
      <c r="O12" s="27" t="s">
        <v>138</v>
      </c>
      <c r="P12" s="27" t="s">
        <v>133</v>
      </c>
      <c r="Q12" s="27" t="s">
        <v>133</v>
      </c>
      <c r="R12" s="27" t="s">
        <v>137</v>
      </c>
      <c r="S12" s="27" t="s">
        <v>134</v>
      </c>
      <c r="T12" s="27" t="s">
        <v>133</v>
      </c>
      <c r="U12" s="27" t="s">
        <v>134</v>
      </c>
      <c r="V12" s="27" t="s">
        <v>131</v>
      </c>
      <c r="W12" s="27" t="s">
        <v>136</v>
      </c>
      <c r="X12" s="27" t="s">
        <v>137</v>
      </c>
      <c r="Y12" s="27" t="s">
        <v>138</v>
      </c>
      <c r="Z12" s="27" t="s">
        <v>132</v>
      </c>
      <c r="AA12" s="27" t="s">
        <v>132</v>
      </c>
      <c r="AB12" s="27" t="s">
        <v>138</v>
      </c>
      <c r="AC12" s="27" t="s">
        <v>137</v>
      </c>
      <c r="AD12" s="27" t="s">
        <v>136</v>
      </c>
    </row>
    <row r="13" spans="1:30" ht="15" x14ac:dyDescent="0.2">
      <c r="A13" t="s">
        <v>43</v>
      </c>
      <c r="B13" t="s">
        <v>164</v>
      </c>
      <c r="C13" s="6">
        <v>12</v>
      </c>
      <c r="D13" s="6">
        <v>12</v>
      </c>
      <c r="E13" s="6">
        <v>10</v>
      </c>
      <c r="F13" s="6">
        <v>6</v>
      </c>
      <c r="G13" s="6">
        <v>4</v>
      </c>
      <c r="H13" s="6">
        <v>5</v>
      </c>
      <c r="I13" s="6">
        <v>9</v>
      </c>
      <c r="J13" s="6">
        <v>9</v>
      </c>
      <c r="K13" s="6">
        <v>12</v>
      </c>
      <c r="L13" s="6">
        <v>6</v>
      </c>
      <c r="M13" s="6">
        <v>3</v>
      </c>
      <c r="N13" s="6">
        <v>8</v>
      </c>
      <c r="O13" s="6">
        <v>4</v>
      </c>
      <c r="P13" s="6">
        <v>7</v>
      </c>
      <c r="Q13" s="6">
        <v>11</v>
      </c>
      <c r="R13" s="6">
        <v>12</v>
      </c>
      <c r="S13" s="6">
        <v>12</v>
      </c>
      <c r="T13" s="6">
        <v>4</v>
      </c>
      <c r="U13" s="6">
        <v>2</v>
      </c>
      <c r="V13" s="6">
        <v>10</v>
      </c>
      <c r="W13" s="6">
        <v>8</v>
      </c>
      <c r="X13" s="6">
        <v>4</v>
      </c>
      <c r="Y13" s="6">
        <v>5</v>
      </c>
      <c r="Z13" s="6">
        <v>12</v>
      </c>
      <c r="AA13" s="6">
        <v>11</v>
      </c>
      <c r="AB13" s="6">
        <v>1</v>
      </c>
      <c r="AC13" s="6">
        <v>1</v>
      </c>
      <c r="AD13" s="6">
        <v>10</v>
      </c>
    </row>
    <row r="14" spans="1:30" ht="15" x14ac:dyDescent="0.2">
      <c r="B14" t="s">
        <v>165</v>
      </c>
      <c r="C14" s="6" t="s">
        <v>130</v>
      </c>
      <c r="D14" s="6" t="s">
        <v>130</v>
      </c>
      <c r="E14" s="6" t="s">
        <v>128</v>
      </c>
      <c r="F14" s="6" t="s">
        <v>124</v>
      </c>
      <c r="G14" s="6" t="s">
        <v>122</v>
      </c>
      <c r="H14" s="6" t="s">
        <v>123</v>
      </c>
      <c r="I14" s="6" t="s">
        <v>127</v>
      </c>
      <c r="J14" s="6" t="s">
        <v>127</v>
      </c>
      <c r="K14" s="6" t="s">
        <v>130</v>
      </c>
      <c r="L14" s="6" t="s">
        <v>124</v>
      </c>
      <c r="M14" s="6" t="s">
        <v>121</v>
      </c>
      <c r="N14" s="6" t="s">
        <v>126</v>
      </c>
      <c r="O14" s="6" t="s">
        <v>122</v>
      </c>
      <c r="P14" s="6" t="s">
        <v>125</v>
      </c>
      <c r="Q14" s="6" t="s">
        <v>129</v>
      </c>
      <c r="R14" s="6" t="s">
        <v>130</v>
      </c>
      <c r="S14" s="6" t="s">
        <v>130</v>
      </c>
      <c r="T14" s="6" t="s">
        <v>122</v>
      </c>
      <c r="U14" s="6" t="s">
        <v>120</v>
      </c>
      <c r="V14" s="6" t="s">
        <v>128</v>
      </c>
      <c r="W14" s="6" t="s">
        <v>126</v>
      </c>
      <c r="X14" s="6" t="s">
        <v>122</v>
      </c>
      <c r="Y14" s="6" t="s">
        <v>123</v>
      </c>
      <c r="Z14" s="6" t="s">
        <v>130</v>
      </c>
      <c r="AA14" s="6" t="s">
        <v>129</v>
      </c>
      <c r="AB14" s="6" t="s">
        <v>119</v>
      </c>
      <c r="AC14" s="6" t="s">
        <v>119</v>
      </c>
      <c r="AD14" s="6" t="s">
        <v>128</v>
      </c>
    </row>
    <row r="15" spans="1:30" s="26" customFormat="1" ht="15" x14ac:dyDescent="0.2">
      <c r="A15" s="26" t="s">
        <v>44</v>
      </c>
      <c r="B15" s="26" t="s">
        <v>164</v>
      </c>
      <c r="C15" s="27">
        <v>14</v>
      </c>
      <c r="D15" s="27">
        <v>12</v>
      </c>
      <c r="E15" s="27">
        <v>15</v>
      </c>
      <c r="F15" s="27">
        <v>9</v>
      </c>
      <c r="G15" s="27">
        <v>2</v>
      </c>
      <c r="H15" s="27">
        <v>13</v>
      </c>
      <c r="I15" s="27">
        <v>6</v>
      </c>
      <c r="J15" s="27">
        <v>7</v>
      </c>
      <c r="K15" s="27">
        <v>11</v>
      </c>
      <c r="L15" s="27">
        <v>6</v>
      </c>
      <c r="M15" s="27">
        <v>12</v>
      </c>
      <c r="N15" s="27">
        <v>15</v>
      </c>
      <c r="O15" s="27">
        <v>6</v>
      </c>
      <c r="P15" s="27">
        <v>9</v>
      </c>
      <c r="Q15" s="27">
        <v>13</v>
      </c>
      <c r="R15" s="27">
        <v>15</v>
      </c>
      <c r="S15" s="27">
        <v>6</v>
      </c>
      <c r="T15" s="27">
        <v>5</v>
      </c>
      <c r="U15" s="27">
        <v>9</v>
      </c>
      <c r="V15" s="27">
        <v>3</v>
      </c>
      <c r="W15" s="27">
        <v>7</v>
      </c>
      <c r="X15" s="27">
        <v>10</v>
      </c>
      <c r="Y15" s="27">
        <v>4</v>
      </c>
      <c r="Z15" s="27">
        <v>6</v>
      </c>
      <c r="AA15" s="27">
        <v>7</v>
      </c>
      <c r="AB15" s="27">
        <v>3</v>
      </c>
      <c r="AC15" s="27">
        <v>2</v>
      </c>
      <c r="AD15" s="27">
        <v>3</v>
      </c>
    </row>
    <row r="16" spans="1:30" s="26" customFormat="1" ht="15" x14ac:dyDescent="0.2">
      <c r="B16" s="26" t="s">
        <v>165</v>
      </c>
      <c r="C16" s="27" t="s">
        <v>117</v>
      </c>
      <c r="D16" s="27" t="s">
        <v>115</v>
      </c>
      <c r="E16" s="27" t="s">
        <v>118</v>
      </c>
      <c r="F16" s="27" t="s">
        <v>112</v>
      </c>
      <c r="G16" s="27" t="s">
        <v>105</v>
      </c>
      <c r="H16" s="27" t="s">
        <v>116</v>
      </c>
      <c r="I16" s="27" t="s">
        <v>109</v>
      </c>
      <c r="J16" s="27" t="s">
        <v>110</v>
      </c>
      <c r="K16" s="27" t="s">
        <v>114</v>
      </c>
      <c r="L16" s="27" t="s">
        <v>109</v>
      </c>
      <c r="M16" s="27" t="s">
        <v>115</v>
      </c>
      <c r="N16" s="27" t="s">
        <v>118</v>
      </c>
      <c r="O16" s="27" t="s">
        <v>109</v>
      </c>
      <c r="P16" s="27" t="s">
        <v>112</v>
      </c>
      <c r="Q16" s="27" t="s">
        <v>116</v>
      </c>
      <c r="R16" s="27" t="s">
        <v>118</v>
      </c>
      <c r="S16" s="27" t="s">
        <v>109</v>
      </c>
      <c r="T16" s="27" t="s">
        <v>108</v>
      </c>
      <c r="U16" s="27" t="s">
        <v>112</v>
      </c>
      <c r="V16" s="27" t="s">
        <v>106</v>
      </c>
      <c r="W16" s="27" t="s">
        <v>110</v>
      </c>
      <c r="X16" s="27" t="s">
        <v>113</v>
      </c>
      <c r="Y16" s="27" t="s">
        <v>107</v>
      </c>
      <c r="Z16" s="27" t="s">
        <v>109</v>
      </c>
      <c r="AA16" s="27" t="s">
        <v>110</v>
      </c>
      <c r="AB16" s="27" t="s">
        <v>106</v>
      </c>
      <c r="AC16" s="27" t="s">
        <v>105</v>
      </c>
      <c r="AD16" s="27" t="s">
        <v>106</v>
      </c>
    </row>
    <row r="17" spans="1:30" ht="15" x14ac:dyDescent="0.2">
      <c r="A17" t="s">
        <v>45</v>
      </c>
      <c r="B17" t="s">
        <v>164</v>
      </c>
      <c r="C17" s="6">
        <v>8</v>
      </c>
      <c r="D17" s="6">
        <v>2</v>
      </c>
      <c r="E17" s="6">
        <v>3</v>
      </c>
      <c r="F17" s="6">
        <v>1</v>
      </c>
      <c r="G17" s="6">
        <v>6</v>
      </c>
      <c r="H17" s="6">
        <v>3</v>
      </c>
      <c r="I17" s="6">
        <v>8</v>
      </c>
      <c r="J17" s="6">
        <v>8</v>
      </c>
      <c r="K17" s="6">
        <v>7</v>
      </c>
      <c r="L17" s="6">
        <v>5</v>
      </c>
      <c r="M17" s="6">
        <v>7</v>
      </c>
      <c r="N17" s="6">
        <v>8</v>
      </c>
      <c r="O17" s="6">
        <v>2</v>
      </c>
      <c r="P17" s="6">
        <v>5</v>
      </c>
      <c r="Q17" s="6">
        <v>1</v>
      </c>
      <c r="R17" s="6">
        <v>2</v>
      </c>
      <c r="S17" s="6">
        <v>5</v>
      </c>
      <c r="T17" s="6">
        <v>8</v>
      </c>
      <c r="U17" s="6">
        <v>5</v>
      </c>
      <c r="V17" s="6">
        <v>5</v>
      </c>
      <c r="W17" s="6">
        <v>8</v>
      </c>
      <c r="X17" s="6">
        <v>6</v>
      </c>
      <c r="Y17" s="6">
        <v>9</v>
      </c>
      <c r="Z17" s="6">
        <v>8</v>
      </c>
      <c r="AA17" s="6">
        <v>6</v>
      </c>
      <c r="AB17" s="6">
        <v>1</v>
      </c>
      <c r="AC17" s="6">
        <v>3</v>
      </c>
      <c r="AD17" s="6">
        <v>7</v>
      </c>
    </row>
    <row r="18" spans="1:30" ht="15" x14ac:dyDescent="0.2">
      <c r="B18" t="s">
        <v>165</v>
      </c>
      <c r="C18" s="6" t="s">
        <v>102</v>
      </c>
      <c r="D18" s="6" t="s">
        <v>96</v>
      </c>
      <c r="E18" s="6" t="s">
        <v>97</v>
      </c>
      <c r="F18" s="6" t="s">
        <v>95</v>
      </c>
      <c r="G18" s="6" t="s">
        <v>100</v>
      </c>
      <c r="H18" s="6" t="s">
        <v>97</v>
      </c>
      <c r="I18" s="6" t="s">
        <v>102</v>
      </c>
      <c r="J18" s="6" t="s">
        <v>102</v>
      </c>
      <c r="K18" s="6" t="s">
        <v>101</v>
      </c>
      <c r="L18" s="6" t="s">
        <v>99</v>
      </c>
      <c r="M18" s="6" t="s">
        <v>101</v>
      </c>
      <c r="N18" s="6" t="s">
        <v>102</v>
      </c>
      <c r="O18" s="6" t="s">
        <v>96</v>
      </c>
      <c r="P18" s="6" t="s">
        <v>99</v>
      </c>
      <c r="Q18" s="6" t="s">
        <v>95</v>
      </c>
      <c r="R18" s="6" t="s">
        <v>96</v>
      </c>
      <c r="S18" s="6" t="s">
        <v>99</v>
      </c>
      <c r="T18" s="6" t="s">
        <v>102</v>
      </c>
      <c r="U18" s="6" t="s">
        <v>99</v>
      </c>
      <c r="V18" s="6" t="s">
        <v>99</v>
      </c>
      <c r="W18" s="6" t="s">
        <v>102</v>
      </c>
      <c r="X18" s="6" t="s">
        <v>100</v>
      </c>
      <c r="Y18" s="6" t="s">
        <v>103</v>
      </c>
      <c r="Z18" s="6" t="s">
        <v>102</v>
      </c>
      <c r="AA18" s="6" t="s">
        <v>100</v>
      </c>
      <c r="AB18" s="6" t="s">
        <v>95</v>
      </c>
      <c r="AC18" s="6" t="s">
        <v>97</v>
      </c>
      <c r="AD18" s="6" t="s">
        <v>101</v>
      </c>
    </row>
    <row r="19" spans="1:30" s="26" customFormat="1" ht="15" x14ac:dyDescent="0.2">
      <c r="A19" s="26" t="s">
        <v>46</v>
      </c>
      <c r="B19" s="26" t="s">
        <v>164</v>
      </c>
      <c r="C19" s="27">
        <v>6</v>
      </c>
      <c r="D19" s="27">
        <v>3</v>
      </c>
      <c r="E19" s="27">
        <v>10</v>
      </c>
      <c r="F19" s="27">
        <v>3</v>
      </c>
      <c r="G19" s="27">
        <v>9</v>
      </c>
      <c r="H19" s="27">
        <v>9</v>
      </c>
      <c r="I19" s="27">
        <v>7</v>
      </c>
      <c r="J19" s="27">
        <v>8</v>
      </c>
      <c r="K19" s="27">
        <v>5</v>
      </c>
      <c r="L19" s="27">
        <v>1</v>
      </c>
      <c r="M19" s="27">
        <v>3</v>
      </c>
      <c r="N19" s="27">
        <v>5</v>
      </c>
      <c r="O19" s="27">
        <v>6</v>
      </c>
      <c r="P19" s="27">
        <v>7</v>
      </c>
      <c r="Q19" s="27">
        <v>4</v>
      </c>
      <c r="R19" s="27">
        <v>3</v>
      </c>
      <c r="S19" s="27">
        <v>12</v>
      </c>
      <c r="T19" s="27">
        <v>11</v>
      </c>
      <c r="U19" s="27">
        <v>11</v>
      </c>
      <c r="V19" s="27">
        <v>4</v>
      </c>
      <c r="W19" s="27">
        <v>9</v>
      </c>
      <c r="X19" s="27">
        <v>3</v>
      </c>
      <c r="Y19" s="27">
        <v>6</v>
      </c>
      <c r="Z19" s="27">
        <v>11</v>
      </c>
      <c r="AA19" s="27">
        <v>6</v>
      </c>
      <c r="AB19" s="27">
        <v>7</v>
      </c>
      <c r="AC19" s="27">
        <v>4</v>
      </c>
      <c r="AD19" s="27">
        <v>10</v>
      </c>
    </row>
    <row r="20" spans="1:30" s="26" customFormat="1" ht="15" x14ac:dyDescent="0.2">
      <c r="B20" s="26" t="s">
        <v>165</v>
      </c>
      <c r="C20" s="27" t="s">
        <v>88</v>
      </c>
      <c r="D20" s="27" t="s">
        <v>85</v>
      </c>
      <c r="E20" s="27" t="s">
        <v>92</v>
      </c>
      <c r="F20" s="27" t="s">
        <v>85</v>
      </c>
      <c r="G20" s="27" t="s">
        <v>91</v>
      </c>
      <c r="H20" s="27" t="s">
        <v>91</v>
      </c>
      <c r="I20" s="27" t="s">
        <v>89</v>
      </c>
      <c r="J20" s="27" t="s">
        <v>90</v>
      </c>
      <c r="K20" s="27" t="s">
        <v>87</v>
      </c>
      <c r="L20" s="27" t="s">
        <v>83</v>
      </c>
      <c r="M20" s="27" t="s">
        <v>85</v>
      </c>
      <c r="N20" s="27" t="s">
        <v>87</v>
      </c>
      <c r="O20" s="27" t="s">
        <v>88</v>
      </c>
      <c r="P20" s="27" t="s">
        <v>89</v>
      </c>
      <c r="Q20" s="27" t="s">
        <v>86</v>
      </c>
      <c r="R20" s="27" t="s">
        <v>85</v>
      </c>
      <c r="S20" s="27" t="s">
        <v>94</v>
      </c>
      <c r="T20" s="27" t="s">
        <v>93</v>
      </c>
      <c r="U20" s="27" t="s">
        <v>93</v>
      </c>
      <c r="V20" s="27" t="s">
        <v>86</v>
      </c>
      <c r="W20" s="27" t="s">
        <v>91</v>
      </c>
      <c r="X20" s="27" t="s">
        <v>85</v>
      </c>
      <c r="Y20" s="27" t="s">
        <v>88</v>
      </c>
      <c r="Z20" s="27" t="s">
        <v>93</v>
      </c>
      <c r="AA20" s="27" t="s">
        <v>88</v>
      </c>
      <c r="AB20" s="27" t="s">
        <v>89</v>
      </c>
      <c r="AC20" s="27" t="s">
        <v>86</v>
      </c>
      <c r="AD20" s="27" t="s">
        <v>92</v>
      </c>
    </row>
  </sheetData>
  <sheetProtection algorithmName="SHA-512" hashValue="75kNC1h45D0ykN1CD83Hyl9M1deHpmW4Zc1UxAuziAjXfPRCwQ4qYsY7I4PzfaT/B3tUFYaYSB9J/ijkOFps/Q==" saltValue="qNKAjUqeDbC1GcC5Y+UaQw==" spinCount="100000" sheet="1" objects="1" scenarios="1"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BB14-8CF3-8A45-A8B3-A103F11DFD1A}">
  <dimension ref="A1:D28"/>
  <sheetViews>
    <sheetView workbookViewId="0">
      <selection activeCell="D4" sqref="D4:D8"/>
    </sheetView>
  </sheetViews>
  <sheetFormatPr baseColWidth="10" defaultColWidth="10.83203125" defaultRowHeight="16" x14ac:dyDescent="0.2"/>
  <cols>
    <col min="2" max="2" width="15.1640625" bestFit="1" customWidth="1"/>
  </cols>
  <sheetData>
    <row r="1" spans="1:4" x14ac:dyDescent="0.2">
      <c r="A1" t="s">
        <v>5</v>
      </c>
      <c r="B1" s="2" t="s">
        <v>12</v>
      </c>
      <c r="C1" t="s">
        <v>198</v>
      </c>
      <c r="D1" t="s">
        <v>207</v>
      </c>
    </row>
    <row r="2" spans="1:4" x14ac:dyDescent="0.2">
      <c r="A2" t="s">
        <v>16</v>
      </c>
      <c r="B2" s="1">
        <v>5194985453</v>
      </c>
      <c r="C2" t="s">
        <v>198</v>
      </c>
      <c r="D2" t="s">
        <v>207</v>
      </c>
    </row>
    <row r="3" spans="1:4" x14ac:dyDescent="0.2">
      <c r="A3" t="s">
        <v>4</v>
      </c>
      <c r="B3" s="1">
        <v>6475753560</v>
      </c>
      <c r="C3" t="s">
        <v>198</v>
      </c>
      <c r="D3" t="s">
        <v>207</v>
      </c>
    </row>
    <row r="4" spans="1:4" x14ac:dyDescent="0.2">
      <c r="A4" t="s">
        <v>7</v>
      </c>
      <c r="B4" s="1">
        <v>4806352335</v>
      </c>
      <c r="C4" t="s">
        <v>198</v>
      </c>
      <c r="D4" t="s">
        <v>207</v>
      </c>
    </row>
    <row r="5" spans="1:4" x14ac:dyDescent="0.2">
      <c r="A5" t="s">
        <v>9</v>
      </c>
      <c r="B5" s="1">
        <v>5193623586</v>
      </c>
      <c r="C5" t="s">
        <v>198</v>
      </c>
      <c r="D5" t="s">
        <v>207</v>
      </c>
    </row>
    <row r="6" spans="1:4" x14ac:dyDescent="0.2">
      <c r="A6" t="s">
        <v>6</v>
      </c>
      <c r="B6" s="1">
        <v>5193623672</v>
      </c>
      <c r="C6" t="s">
        <v>198</v>
      </c>
      <c r="D6" t="s">
        <v>207</v>
      </c>
    </row>
    <row r="7" spans="1:4" x14ac:dyDescent="0.2">
      <c r="A7" t="s">
        <v>3</v>
      </c>
      <c r="B7" s="2" t="s">
        <v>13</v>
      </c>
      <c r="C7" t="s">
        <v>198</v>
      </c>
      <c r="D7" t="s">
        <v>207</v>
      </c>
    </row>
    <row r="8" spans="1:4" x14ac:dyDescent="0.2">
      <c r="A8" t="s">
        <v>8</v>
      </c>
      <c r="B8" s="1">
        <v>5198611517</v>
      </c>
      <c r="C8" t="s">
        <v>198</v>
      </c>
      <c r="D8" t="s">
        <v>207</v>
      </c>
    </row>
    <row r="9" spans="1:4" x14ac:dyDescent="0.2">
      <c r="A9" t="s">
        <v>2</v>
      </c>
      <c r="B9" s="1">
        <v>5199989213</v>
      </c>
      <c r="C9" t="s">
        <v>206</v>
      </c>
      <c r="D9" t="s">
        <v>207</v>
      </c>
    </row>
    <row r="10" spans="1:4" x14ac:dyDescent="0.2">
      <c r="A10" t="s">
        <v>10</v>
      </c>
      <c r="B10" s="3" t="s">
        <v>11</v>
      </c>
      <c r="C10" t="s">
        <v>198</v>
      </c>
      <c r="D10" t="s">
        <v>207</v>
      </c>
    </row>
    <row r="11" spans="1:4" x14ac:dyDescent="0.2">
      <c r="A11" t="s">
        <v>1</v>
      </c>
      <c r="B11" s="1">
        <v>3109686593</v>
      </c>
      <c r="C11" t="s">
        <v>206</v>
      </c>
      <c r="D11" t="s">
        <v>207</v>
      </c>
    </row>
    <row r="12" spans="1:4" x14ac:dyDescent="0.2">
      <c r="A12" t="s">
        <v>0</v>
      </c>
      <c r="B12" s="2" t="s">
        <v>15</v>
      </c>
      <c r="C12" t="s">
        <v>198</v>
      </c>
      <c r="D12" t="s">
        <v>207</v>
      </c>
    </row>
    <row r="13" spans="1:4" x14ac:dyDescent="0.2">
      <c r="A13" t="s">
        <v>17</v>
      </c>
      <c r="B13" s="1" t="s">
        <v>19</v>
      </c>
      <c r="C13" t="s">
        <v>198</v>
      </c>
      <c r="D13" t="s">
        <v>207</v>
      </c>
    </row>
    <row r="14" spans="1:4" x14ac:dyDescent="0.2">
      <c r="A14" t="s">
        <v>18</v>
      </c>
      <c r="B14" s="1" t="s">
        <v>22</v>
      </c>
      <c r="C14" t="s">
        <v>206</v>
      </c>
      <c r="D14" t="s">
        <v>207</v>
      </c>
    </row>
    <row r="15" spans="1:4" x14ac:dyDescent="0.2">
      <c r="A15" t="s">
        <v>20</v>
      </c>
      <c r="B15" s="1" t="s">
        <v>23</v>
      </c>
      <c r="C15" t="s">
        <v>198</v>
      </c>
      <c r="D15" t="s">
        <v>207</v>
      </c>
    </row>
    <row r="16" spans="1:4" x14ac:dyDescent="0.2">
      <c r="A16" t="s">
        <v>25</v>
      </c>
      <c r="B16" s="1" t="s">
        <v>24</v>
      </c>
      <c r="C16" t="s">
        <v>198</v>
      </c>
      <c r="D16" t="s">
        <v>207</v>
      </c>
    </row>
    <row r="17" spans="1:4" x14ac:dyDescent="0.2">
      <c r="A17" t="s">
        <v>26</v>
      </c>
      <c r="B17" s="1" t="s">
        <v>28</v>
      </c>
      <c r="C17" t="s">
        <v>198</v>
      </c>
      <c r="D17" t="s">
        <v>207</v>
      </c>
    </row>
    <row r="18" spans="1:4" x14ac:dyDescent="0.2">
      <c r="A18" t="s">
        <v>27</v>
      </c>
      <c r="B18" s="1" t="s">
        <v>22</v>
      </c>
      <c r="C18" t="s">
        <v>206</v>
      </c>
      <c r="D18" t="s">
        <v>207</v>
      </c>
    </row>
    <row r="19" spans="1:4" x14ac:dyDescent="0.2">
      <c r="A19" t="s">
        <v>171</v>
      </c>
      <c r="B19" s="1" t="s">
        <v>172</v>
      </c>
      <c r="C19" t="s">
        <v>206</v>
      </c>
      <c r="D19" t="s">
        <v>207</v>
      </c>
    </row>
    <row r="20" spans="1:4" x14ac:dyDescent="0.2">
      <c r="A20" t="s">
        <v>173</v>
      </c>
      <c r="B20" s="1" t="s">
        <v>174</v>
      </c>
      <c r="C20" t="s">
        <v>206</v>
      </c>
      <c r="D20" t="s">
        <v>207</v>
      </c>
    </row>
    <row r="21" spans="1:4" x14ac:dyDescent="0.2">
      <c r="A21" t="s">
        <v>175</v>
      </c>
      <c r="B21" s="1" t="s">
        <v>186</v>
      </c>
      <c r="C21" t="s">
        <v>206</v>
      </c>
      <c r="D21" t="s">
        <v>207</v>
      </c>
    </row>
    <row r="22" spans="1:4" x14ac:dyDescent="0.2">
      <c r="A22" t="s">
        <v>177</v>
      </c>
      <c r="B22" s="1" t="s">
        <v>186</v>
      </c>
      <c r="C22" t="s">
        <v>206</v>
      </c>
      <c r="D22" t="s">
        <v>207</v>
      </c>
    </row>
    <row r="23" spans="1:4" x14ac:dyDescent="0.2">
      <c r="A23" t="s">
        <v>178</v>
      </c>
      <c r="B23" s="1" t="s">
        <v>186</v>
      </c>
      <c r="C23" t="s">
        <v>206</v>
      </c>
      <c r="D23" t="s">
        <v>207</v>
      </c>
    </row>
    <row r="24" spans="1:4" x14ac:dyDescent="0.2">
      <c r="A24" t="s">
        <v>179</v>
      </c>
      <c r="B24" s="1" t="s">
        <v>186</v>
      </c>
      <c r="C24" t="s">
        <v>206</v>
      </c>
      <c r="D24" t="s">
        <v>207</v>
      </c>
    </row>
    <row r="25" spans="1:4" x14ac:dyDescent="0.2">
      <c r="A25" t="s">
        <v>180</v>
      </c>
      <c r="B25" s="1" t="s">
        <v>186</v>
      </c>
      <c r="C25" t="s">
        <v>206</v>
      </c>
      <c r="D25" t="s">
        <v>207</v>
      </c>
    </row>
    <row r="26" spans="1:4" x14ac:dyDescent="0.2">
      <c r="A26" t="s">
        <v>181</v>
      </c>
      <c r="B26" s="1" t="s">
        <v>186</v>
      </c>
      <c r="C26" t="s">
        <v>206</v>
      </c>
      <c r="D26" t="s">
        <v>207</v>
      </c>
    </row>
    <row r="27" spans="1:4" x14ac:dyDescent="0.2">
      <c r="A27" t="s">
        <v>182</v>
      </c>
      <c r="B27" s="1" t="s">
        <v>186</v>
      </c>
      <c r="C27" t="s">
        <v>206</v>
      </c>
      <c r="D27" t="s">
        <v>207</v>
      </c>
    </row>
    <row r="28" spans="1:4" x14ac:dyDescent="0.2">
      <c r="A28" t="s">
        <v>200</v>
      </c>
      <c r="D28" t="s">
        <v>207</v>
      </c>
    </row>
  </sheetData>
  <sheetProtection selectLockedCells="1"/>
  <conditionalFormatting sqref="C1:C27 A1:A28">
    <cfRule type="expression" dxfId="1" priority="1">
      <formula>$C1=Received</formula>
    </cfRule>
    <cfRule type="expression" dxfId="0" priority="4">
      <formula>$C1="Not Received"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47</v>
      </c>
    </row>
    <row r="2" spans="1:2" x14ac:dyDescent="0.2">
      <c r="A2">
        <v>2</v>
      </c>
      <c r="B2" t="s">
        <v>48</v>
      </c>
    </row>
    <row r="3" spans="1:2" x14ac:dyDescent="0.2">
      <c r="A3">
        <v>3</v>
      </c>
      <c r="B3" t="s">
        <v>49</v>
      </c>
    </row>
    <row r="4" spans="1:2" x14ac:dyDescent="0.2">
      <c r="A4">
        <v>4</v>
      </c>
      <c r="B4" t="s">
        <v>50</v>
      </c>
    </row>
    <row r="5" spans="1:2" x14ac:dyDescent="0.2">
      <c r="A5">
        <v>5</v>
      </c>
      <c r="B5" t="s">
        <v>51</v>
      </c>
    </row>
    <row r="6" spans="1:2" x14ac:dyDescent="0.2">
      <c r="A6">
        <v>6</v>
      </c>
      <c r="B6" t="s">
        <v>52</v>
      </c>
    </row>
    <row r="7" spans="1:2" x14ac:dyDescent="0.2">
      <c r="A7">
        <v>7</v>
      </c>
      <c r="B7" t="s">
        <v>53</v>
      </c>
    </row>
    <row r="8" spans="1:2" x14ac:dyDescent="0.2">
      <c r="A8">
        <v>8</v>
      </c>
      <c r="B8" t="s">
        <v>54</v>
      </c>
    </row>
    <row r="9" spans="1:2" x14ac:dyDescent="0.2">
      <c r="A9">
        <v>9</v>
      </c>
      <c r="B9" t="s">
        <v>55</v>
      </c>
    </row>
    <row r="10" spans="1:2" x14ac:dyDescent="0.2">
      <c r="A10">
        <v>10</v>
      </c>
      <c r="B10" t="s">
        <v>56</v>
      </c>
    </row>
    <row r="11" spans="1:2" x14ac:dyDescent="0.2">
      <c r="A11">
        <v>11</v>
      </c>
      <c r="B11" t="s">
        <v>166</v>
      </c>
    </row>
    <row r="12" spans="1:2" x14ac:dyDescent="0.2">
      <c r="A12">
        <v>12</v>
      </c>
      <c r="B12" t="s">
        <v>57</v>
      </c>
    </row>
    <row r="13" spans="1:2" x14ac:dyDescent="0.2">
      <c r="A13">
        <v>13</v>
      </c>
      <c r="B13" t="s">
        <v>58</v>
      </c>
    </row>
    <row r="14" spans="1:2" x14ac:dyDescent="0.2">
      <c r="A14">
        <v>14</v>
      </c>
      <c r="B14" t="s">
        <v>59</v>
      </c>
    </row>
    <row r="15" spans="1:2" x14ac:dyDescent="0.2">
      <c r="A15">
        <v>15</v>
      </c>
      <c r="B15" t="s">
        <v>60</v>
      </c>
    </row>
    <row r="16" spans="1:2" x14ac:dyDescent="0.2">
      <c r="A16">
        <v>16</v>
      </c>
      <c r="B16" t="s">
        <v>61</v>
      </c>
    </row>
    <row r="17" spans="1:2" x14ac:dyDescent="0.2">
      <c r="A17">
        <v>17</v>
      </c>
      <c r="B17" t="s"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63</v>
      </c>
    </row>
    <row r="2" spans="1:2" x14ac:dyDescent="0.2">
      <c r="A2">
        <v>2</v>
      </c>
      <c r="B2" t="s">
        <v>64</v>
      </c>
    </row>
    <row r="3" spans="1:2" x14ac:dyDescent="0.2">
      <c r="A3">
        <v>3</v>
      </c>
      <c r="B3" t="s">
        <v>65</v>
      </c>
    </row>
    <row r="4" spans="1:2" x14ac:dyDescent="0.2">
      <c r="A4">
        <v>4</v>
      </c>
      <c r="B4" t="s">
        <v>66</v>
      </c>
    </row>
    <row r="5" spans="1:2" x14ac:dyDescent="0.2">
      <c r="A5">
        <v>5</v>
      </c>
      <c r="B5" t="s">
        <v>67</v>
      </c>
    </row>
    <row r="6" spans="1:2" x14ac:dyDescent="0.2">
      <c r="A6">
        <v>6</v>
      </c>
      <c r="B6" t="s">
        <v>68</v>
      </c>
    </row>
    <row r="7" spans="1:2" x14ac:dyDescent="0.2">
      <c r="A7">
        <v>7</v>
      </c>
      <c r="B7" t="s">
        <v>69</v>
      </c>
    </row>
    <row r="8" spans="1:2" x14ac:dyDescent="0.2">
      <c r="A8">
        <v>8</v>
      </c>
      <c r="B8" t="s">
        <v>70</v>
      </c>
    </row>
    <row r="9" spans="1:2" x14ac:dyDescent="0.2">
      <c r="A9">
        <v>9</v>
      </c>
      <c r="B9" t="s">
        <v>71</v>
      </c>
    </row>
    <row r="10" spans="1:2" x14ac:dyDescent="0.2">
      <c r="A10">
        <v>10</v>
      </c>
      <c r="B10" t="s">
        <v>72</v>
      </c>
    </row>
    <row r="11" spans="1:2" x14ac:dyDescent="0.2">
      <c r="A11">
        <v>11</v>
      </c>
      <c r="B11" t="s">
        <v>73</v>
      </c>
    </row>
    <row r="12" spans="1:2" x14ac:dyDescent="0.2">
      <c r="A12">
        <v>12</v>
      </c>
      <c r="B12" t="s">
        <v>74</v>
      </c>
    </row>
    <row r="13" spans="1:2" x14ac:dyDescent="0.2">
      <c r="A13">
        <v>13</v>
      </c>
      <c r="B13" t="s">
        <v>75</v>
      </c>
    </row>
    <row r="14" spans="1:2" x14ac:dyDescent="0.2">
      <c r="A14">
        <v>14</v>
      </c>
      <c r="B14" t="s">
        <v>76</v>
      </c>
    </row>
    <row r="15" spans="1:2" x14ac:dyDescent="0.2">
      <c r="A15">
        <v>15</v>
      </c>
      <c r="B15" t="s">
        <v>77</v>
      </c>
    </row>
    <row r="16" spans="1:2" x14ac:dyDescent="0.2">
      <c r="A16">
        <v>16</v>
      </c>
      <c r="B16" t="s">
        <v>78</v>
      </c>
    </row>
    <row r="17" spans="1:2" x14ac:dyDescent="0.2">
      <c r="A17">
        <v>17</v>
      </c>
      <c r="B17" t="s">
        <v>79</v>
      </c>
    </row>
    <row r="18" spans="1:2" x14ac:dyDescent="0.2">
      <c r="A18">
        <v>18</v>
      </c>
      <c r="B18" t="s">
        <v>80</v>
      </c>
    </row>
    <row r="19" spans="1:2" x14ac:dyDescent="0.2">
      <c r="A19">
        <v>19</v>
      </c>
      <c r="B19" t="s">
        <v>81</v>
      </c>
    </row>
    <row r="20" spans="1:2" x14ac:dyDescent="0.2">
      <c r="A20">
        <v>20</v>
      </c>
      <c r="B20" t="s">
        <v>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152</v>
      </c>
    </row>
    <row r="2" spans="1:2" x14ac:dyDescent="0.2">
      <c r="A2">
        <v>2</v>
      </c>
      <c r="B2" t="s">
        <v>153</v>
      </c>
    </row>
    <row r="3" spans="1:2" x14ac:dyDescent="0.2">
      <c r="A3">
        <v>3</v>
      </c>
      <c r="B3" t="s">
        <v>154</v>
      </c>
    </row>
    <row r="4" spans="1:2" x14ac:dyDescent="0.2">
      <c r="A4">
        <v>4</v>
      </c>
      <c r="B4" t="s">
        <v>155</v>
      </c>
    </row>
    <row r="5" spans="1:2" x14ac:dyDescent="0.2">
      <c r="A5">
        <v>5</v>
      </c>
      <c r="B5" t="s">
        <v>156</v>
      </c>
    </row>
    <row r="6" spans="1:2" x14ac:dyDescent="0.2">
      <c r="A6">
        <v>6</v>
      </c>
      <c r="B6" t="s">
        <v>157</v>
      </c>
    </row>
    <row r="7" spans="1:2" x14ac:dyDescent="0.2">
      <c r="A7">
        <v>7</v>
      </c>
      <c r="B7" t="s">
        <v>158</v>
      </c>
    </row>
    <row r="8" spans="1:2" x14ac:dyDescent="0.2">
      <c r="A8">
        <v>8</v>
      </c>
      <c r="B8" t="s">
        <v>159</v>
      </c>
    </row>
    <row r="9" spans="1:2" x14ac:dyDescent="0.2">
      <c r="A9">
        <v>9</v>
      </c>
      <c r="B9" t="s">
        <v>160</v>
      </c>
    </row>
    <row r="10" spans="1:2" x14ac:dyDescent="0.2">
      <c r="A10">
        <v>10</v>
      </c>
      <c r="B10" t="s">
        <v>161</v>
      </c>
    </row>
    <row r="11" spans="1:2" x14ac:dyDescent="0.2">
      <c r="A11">
        <v>11</v>
      </c>
      <c r="B11" t="s">
        <v>162</v>
      </c>
    </row>
    <row r="12" spans="1:2" x14ac:dyDescent="0.2">
      <c r="A12">
        <v>12</v>
      </c>
      <c r="B12" t="s">
        <v>163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139</v>
      </c>
    </row>
    <row r="2" spans="1:2" x14ac:dyDescent="0.2">
      <c r="A2">
        <v>2</v>
      </c>
      <c r="B2" t="s">
        <v>140</v>
      </c>
    </row>
    <row r="3" spans="1:2" x14ac:dyDescent="0.2">
      <c r="A3">
        <v>3</v>
      </c>
      <c r="B3" t="s">
        <v>141</v>
      </c>
    </row>
    <row r="4" spans="1:2" x14ac:dyDescent="0.2">
      <c r="A4">
        <v>4</v>
      </c>
      <c r="B4" t="s">
        <v>142</v>
      </c>
    </row>
    <row r="5" spans="1:2" x14ac:dyDescent="0.2">
      <c r="A5">
        <v>5</v>
      </c>
      <c r="B5" t="s">
        <v>143</v>
      </c>
    </row>
    <row r="6" spans="1:2" x14ac:dyDescent="0.2">
      <c r="A6">
        <v>6</v>
      </c>
      <c r="B6" t="s">
        <v>144</v>
      </c>
    </row>
    <row r="7" spans="1:2" x14ac:dyDescent="0.2">
      <c r="A7">
        <v>7</v>
      </c>
      <c r="B7" t="s">
        <v>145</v>
      </c>
    </row>
    <row r="8" spans="1:2" x14ac:dyDescent="0.2">
      <c r="A8">
        <v>8</v>
      </c>
      <c r="B8" t="s">
        <v>146</v>
      </c>
    </row>
    <row r="9" spans="1:2" x14ac:dyDescent="0.2">
      <c r="A9">
        <v>9</v>
      </c>
      <c r="B9" t="s">
        <v>147</v>
      </c>
    </row>
    <row r="10" spans="1:2" x14ac:dyDescent="0.2">
      <c r="A10">
        <v>10</v>
      </c>
      <c r="B10" t="s">
        <v>148</v>
      </c>
    </row>
    <row r="11" spans="1:2" x14ac:dyDescent="0.2">
      <c r="A11">
        <v>11</v>
      </c>
      <c r="B11" t="s">
        <v>149</v>
      </c>
    </row>
    <row r="12" spans="1:2" x14ac:dyDescent="0.2">
      <c r="A12">
        <v>12</v>
      </c>
      <c r="B12" t="s">
        <v>150</v>
      </c>
    </row>
    <row r="13" spans="1:2" x14ac:dyDescent="0.2">
      <c r="A13">
        <v>13</v>
      </c>
      <c r="B13" t="s">
        <v>151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131</v>
      </c>
    </row>
    <row r="2" spans="1:2" x14ac:dyDescent="0.2">
      <c r="A2">
        <v>2</v>
      </c>
      <c r="B2" t="s">
        <v>132</v>
      </c>
    </row>
    <row r="3" spans="1:2" x14ac:dyDescent="0.2">
      <c r="A3">
        <v>3</v>
      </c>
      <c r="B3" t="s">
        <v>133</v>
      </c>
    </row>
    <row r="4" spans="1:2" x14ac:dyDescent="0.2">
      <c r="A4">
        <v>4</v>
      </c>
      <c r="B4" t="s">
        <v>134</v>
      </c>
    </row>
    <row r="5" spans="1:2" x14ac:dyDescent="0.2">
      <c r="A5">
        <v>5</v>
      </c>
      <c r="B5" t="s">
        <v>135</v>
      </c>
    </row>
    <row r="6" spans="1:2" x14ac:dyDescent="0.2">
      <c r="A6">
        <v>6</v>
      </c>
      <c r="B6" t="s">
        <v>136</v>
      </c>
    </row>
    <row r="7" spans="1:2" x14ac:dyDescent="0.2">
      <c r="A7">
        <v>7</v>
      </c>
      <c r="B7" t="s">
        <v>137</v>
      </c>
    </row>
    <row r="8" spans="1:2" x14ac:dyDescent="0.2">
      <c r="A8">
        <v>8</v>
      </c>
      <c r="B8" t="s">
        <v>138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119</v>
      </c>
    </row>
    <row r="2" spans="1:2" x14ac:dyDescent="0.2">
      <c r="A2">
        <v>2</v>
      </c>
      <c r="B2" t="s">
        <v>120</v>
      </c>
    </row>
    <row r="3" spans="1:2" x14ac:dyDescent="0.2">
      <c r="A3">
        <v>3</v>
      </c>
      <c r="B3" t="s">
        <v>121</v>
      </c>
    </row>
    <row r="4" spans="1:2" x14ac:dyDescent="0.2">
      <c r="A4">
        <v>4</v>
      </c>
      <c r="B4" t="s">
        <v>122</v>
      </c>
    </row>
    <row r="5" spans="1:2" x14ac:dyDescent="0.2">
      <c r="A5">
        <v>5</v>
      </c>
      <c r="B5" t="s">
        <v>123</v>
      </c>
    </row>
    <row r="6" spans="1:2" x14ac:dyDescent="0.2">
      <c r="A6">
        <v>6</v>
      </c>
      <c r="B6" t="s">
        <v>124</v>
      </c>
    </row>
    <row r="7" spans="1:2" x14ac:dyDescent="0.2">
      <c r="A7">
        <v>7</v>
      </c>
      <c r="B7" t="s">
        <v>125</v>
      </c>
    </row>
    <row r="8" spans="1:2" x14ac:dyDescent="0.2">
      <c r="A8">
        <v>8</v>
      </c>
      <c r="B8" t="s">
        <v>126</v>
      </c>
    </row>
    <row r="9" spans="1:2" x14ac:dyDescent="0.2">
      <c r="A9">
        <v>9</v>
      </c>
      <c r="B9" t="s">
        <v>127</v>
      </c>
    </row>
    <row r="10" spans="1:2" x14ac:dyDescent="0.2">
      <c r="A10">
        <v>10</v>
      </c>
      <c r="B10" t="s">
        <v>128</v>
      </c>
    </row>
    <row r="11" spans="1:2" x14ac:dyDescent="0.2">
      <c r="A11">
        <v>11</v>
      </c>
      <c r="B11" t="s">
        <v>129</v>
      </c>
    </row>
    <row r="12" spans="1:2" x14ac:dyDescent="0.2">
      <c r="A12">
        <v>12</v>
      </c>
      <c r="B12" t="s">
        <v>130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104</v>
      </c>
    </row>
    <row r="2" spans="1:2" x14ac:dyDescent="0.2">
      <c r="A2">
        <v>2</v>
      </c>
      <c r="B2" t="s">
        <v>105</v>
      </c>
    </row>
    <row r="3" spans="1:2" x14ac:dyDescent="0.2">
      <c r="A3">
        <v>3</v>
      </c>
      <c r="B3" t="s">
        <v>106</v>
      </c>
    </row>
    <row r="4" spans="1:2" x14ac:dyDescent="0.2">
      <c r="A4">
        <v>4</v>
      </c>
      <c r="B4" t="s">
        <v>107</v>
      </c>
    </row>
    <row r="5" spans="1:2" x14ac:dyDescent="0.2">
      <c r="A5">
        <v>5</v>
      </c>
      <c r="B5" t="s">
        <v>108</v>
      </c>
    </row>
    <row r="6" spans="1:2" x14ac:dyDescent="0.2">
      <c r="A6">
        <v>6</v>
      </c>
      <c r="B6" t="s">
        <v>109</v>
      </c>
    </row>
    <row r="7" spans="1:2" x14ac:dyDescent="0.2">
      <c r="A7">
        <v>7</v>
      </c>
      <c r="B7" t="s">
        <v>110</v>
      </c>
    </row>
    <row r="8" spans="1:2" x14ac:dyDescent="0.2">
      <c r="A8">
        <v>8</v>
      </c>
      <c r="B8" t="s">
        <v>111</v>
      </c>
    </row>
    <row r="9" spans="1:2" x14ac:dyDescent="0.2">
      <c r="A9">
        <v>9</v>
      </c>
      <c r="B9" t="s">
        <v>112</v>
      </c>
    </row>
    <row r="10" spans="1:2" x14ac:dyDescent="0.2">
      <c r="A10">
        <v>10</v>
      </c>
      <c r="B10" t="s">
        <v>113</v>
      </c>
    </row>
    <row r="11" spans="1:2" x14ac:dyDescent="0.2">
      <c r="A11">
        <v>11</v>
      </c>
      <c r="B11" t="s">
        <v>114</v>
      </c>
    </row>
    <row r="12" spans="1:2" x14ac:dyDescent="0.2">
      <c r="A12">
        <v>12</v>
      </c>
      <c r="B12" t="s">
        <v>115</v>
      </c>
    </row>
    <row r="13" spans="1:2" x14ac:dyDescent="0.2">
      <c r="A13">
        <v>13</v>
      </c>
      <c r="B13" t="s">
        <v>116</v>
      </c>
    </row>
    <row r="14" spans="1:2" x14ac:dyDescent="0.2">
      <c r="A14">
        <v>14</v>
      </c>
      <c r="B14" t="s">
        <v>117</v>
      </c>
    </row>
    <row r="15" spans="1:2" x14ac:dyDescent="0.2">
      <c r="A15">
        <v>15</v>
      </c>
      <c r="B15" t="s">
        <v>118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95</v>
      </c>
    </row>
    <row r="2" spans="1:2" x14ac:dyDescent="0.2">
      <c r="A2">
        <v>2</v>
      </c>
      <c r="B2" t="s">
        <v>96</v>
      </c>
    </row>
    <row r="3" spans="1:2" x14ac:dyDescent="0.2">
      <c r="A3">
        <v>3</v>
      </c>
      <c r="B3" t="s">
        <v>97</v>
      </c>
    </row>
    <row r="4" spans="1:2" x14ac:dyDescent="0.2">
      <c r="A4">
        <v>4</v>
      </c>
      <c r="B4" t="s">
        <v>98</v>
      </c>
    </row>
    <row r="5" spans="1:2" x14ac:dyDescent="0.2">
      <c r="A5">
        <v>5</v>
      </c>
      <c r="B5" t="s">
        <v>99</v>
      </c>
    </row>
    <row r="6" spans="1:2" x14ac:dyDescent="0.2">
      <c r="A6">
        <v>6</v>
      </c>
      <c r="B6" t="s">
        <v>100</v>
      </c>
    </row>
    <row r="7" spans="1:2" x14ac:dyDescent="0.2">
      <c r="A7">
        <v>7</v>
      </c>
      <c r="B7" t="s">
        <v>101</v>
      </c>
    </row>
    <row r="8" spans="1:2" x14ac:dyDescent="0.2">
      <c r="A8">
        <v>8</v>
      </c>
      <c r="B8" t="s">
        <v>102</v>
      </c>
    </row>
    <row r="9" spans="1:2" x14ac:dyDescent="0.2">
      <c r="A9">
        <v>9</v>
      </c>
      <c r="B9" t="s">
        <v>103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/>
  </sheetViews>
  <sheetFormatPr baseColWidth="10" defaultColWidth="10.83203125" defaultRowHeight="16" x14ac:dyDescent="0.2"/>
  <sheetData>
    <row r="1" spans="1:2" x14ac:dyDescent="0.2">
      <c r="A1">
        <v>1</v>
      </c>
      <c r="B1" t="s">
        <v>83</v>
      </c>
    </row>
    <row r="2" spans="1:2" x14ac:dyDescent="0.2">
      <c r="A2">
        <v>2</v>
      </c>
      <c r="B2" t="s">
        <v>84</v>
      </c>
    </row>
    <row r="3" spans="1:2" x14ac:dyDescent="0.2">
      <c r="A3">
        <v>3</v>
      </c>
      <c r="B3" t="s">
        <v>85</v>
      </c>
    </row>
    <row r="4" spans="1:2" x14ac:dyDescent="0.2">
      <c r="A4">
        <v>4</v>
      </c>
      <c r="B4" t="s">
        <v>86</v>
      </c>
    </row>
    <row r="5" spans="1:2" x14ac:dyDescent="0.2">
      <c r="A5">
        <v>5</v>
      </c>
      <c r="B5" t="s">
        <v>87</v>
      </c>
    </row>
    <row r="6" spans="1:2" x14ac:dyDescent="0.2">
      <c r="A6">
        <v>6</v>
      </c>
      <c r="B6" t="s">
        <v>88</v>
      </c>
    </row>
    <row r="7" spans="1:2" x14ac:dyDescent="0.2">
      <c r="A7">
        <v>7</v>
      </c>
      <c r="B7" t="s">
        <v>89</v>
      </c>
    </row>
    <row r="8" spans="1:2" x14ac:dyDescent="0.2">
      <c r="A8">
        <v>8</v>
      </c>
      <c r="B8" t="s">
        <v>90</v>
      </c>
    </row>
    <row r="9" spans="1:2" x14ac:dyDescent="0.2">
      <c r="A9">
        <v>9</v>
      </c>
      <c r="B9" t="s">
        <v>91</v>
      </c>
    </row>
    <row r="10" spans="1:2" x14ac:dyDescent="0.2">
      <c r="A10">
        <v>10</v>
      </c>
      <c r="B10" t="s">
        <v>92</v>
      </c>
    </row>
    <row r="11" spans="1:2" x14ac:dyDescent="0.2">
      <c r="A11">
        <v>11</v>
      </c>
      <c r="B11" t="s">
        <v>93</v>
      </c>
    </row>
    <row r="12" spans="1:2" x14ac:dyDescent="0.2">
      <c r="A12">
        <v>12</v>
      </c>
      <c r="B1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Players Sheet</vt:lpstr>
      <vt:lpstr>Horse Sheet</vt:lpstr>
      <vt:lpstr>Tickets</vt:lpstr>
      <vt:lpstr>Race1</vt:lpstr>
      <vt:lpstr>Race2</vt:lpstr>
      <vt:lpstr>Race3</vt:lpstr>
      <vt:lpstr>Race4</vt:lpstr>
      <vt:lpstr>Race5</vt:lpstr>
      <vt:lpstr>Race6</vt:lpstr>
      <vt:lpstr>Race7</vt:lpstr>
      <vt:lpstr>Race8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2020-12-14T01:12:29Z</dcterms:modified>
</cp:coreProperties>
</file>